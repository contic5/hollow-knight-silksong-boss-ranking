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J\Documents\My Projects\hollow-knight-silksong-boss-ranking\public\"/>
    </mc:Choice>
  </mc:AlternateContent>
  <xr:revisionPtr revIDLastSave="0" documentId="13_ncr:1_{5BEA9350-BA0B-42CA-B3C8-41421D9C2FBF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1" sheetId="4" r:id="rId1"/>
    <sheet name="Quality" sheetId="1" r:id="rId2"/>
    <sheet name="Difficulty" sheetId="3" r:id="rId3"/>
    <sheet name="Works Cited" sheetId="2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6" i="1" l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L23" i="1"/>
  <c r="L12" i="1"/>
  <c r="L38" i="1"/>
  <c r="L21" i="1"/>
  <c r="L20" i="1"/>
  <c r="L46" i="1"/>
  <c r="L6" i="1"/>
  <c r="L15" i="1"/>
  <c r="L42" i="1"/>
  <c r="L43" i="1"/>
  <c r="L36" i="1"/>
  <c r="L34" i="1"/>
  <c r="L35" i="1"/>
  <c r="L5" i="1"/>
  <c r="L29" i="1"/>
  <c r="L19" i="1"/>
  <c r="L9" i="1"/>
  <c r="L37" i="1"/>
  <c r="L24" i="1"/>
  <c r="L8" i="1"/>
  <c r="L13" i="1"/>
  <c r="L3" i="1"/>
  <c r="L32" i="1"/>
  <c r="L41" i="1"/>
  <c r="L22" i="1"/>
  <c r="L14" i="1"/>
  <c r="L2" i="1"/>
  <c r="L16" i="1"/>
  <c r="L26" i="1"/>
  <c r="L27" i="1"/>
  <c r="L11" i="1"/>
  <c r="L30" i="1"/>
  <c r="L33" i="1"/>
  <c r="L4" i="1"/>
  <c r="L10" i="1"/>
  <c r="L25" i="1"/>
  <c r="L18" i="1"/>
  <c r="L28" i="1"/>
  <c r="L39" i="1"/>
  <c r="L17" i="1"/>
  <c r="L7" i="1"/>
  <c r="L31" i="1"/>
  <c r="L40" i="1"/>
  <c r="L44" i="1"/>
  <c r="L45" i="1"/>
  <c r="P23" i="1"/>
  <c r="P12" i="1"/>
  <c r="P38" i="1"/>
  <c r="P21" i="1"/>
  <c r="P20" i="1"/>
  <c r="P46" i="1"/>
  <c r="P6" i="1"/>
  <c r="P15" i="1"/>
  <c r="P42" i="1"/>
  <c r="P43" i="1"/>
  <c r="P36" i="1"/>
  <c r="P34" i="1"/>
  <c r="P35" i="1"/>
  <c r="P5" i="1"/>
  <c r="P29" i="1"/>
  <c r="P19" i="1"/>
  <c r="P9" i="1"/>
  <c r="P37" i="1"/>
  <c r="P24" i="1"/>
  <c r="P8" i="1"/>
  <c r="P13" i="1"/>
  <c r="P3" i="1"/>
  <c r="P32" i="1"/>
  <c r="P41" i="1"/>
  <c r="P22" i="1"/>
  <c r="P14" i="1"/>
  <c r="P2" i="1"/>
  <c r="P16" i="1"/>
  <c r="P26" i="1"/>
  <c r="P27" i="1"/>
  <c r="P11" i="1"/>
  <c r="P30" i="1"/>
  <c r="P33" i="1"/>
  <c r="P4" i="1"/>
  <c r="P10" i="1"/>
  <c r="P25" i="1"/>
  <c r="P18" i="1"/>
  <c r="P28" i="1"/>
  <c r="P39" i="1"/>
  <c r="P17" i="1"/>
  <c r="P7" i="1"/>
  <c r="P31" i="1"/>
  <c r="P40" i="1"/>
  <c r="P44" i="1"/>
  <c r="P45" i="1"/>
  <c r="I23" i="3"/>
  <c r="I17" i="3"/>
  <c r="I38" i="3"/>
  <c r="I42" i="3"/>
  <c r="I12" i="3"/>
  <c r="I43" i="3"/>
  <c r="I36" i="3"/>
  <c r="I21" i="3"/>
  <c r="I15" i="3"/>
  <c r="I20" i="3"/>
  <c r="I27" i="3"/>
  <c r="I13" i="3"/>
  <c r="I3" i="3"/>
  <c r="I11" i="3"/>
  <c r="I34" i="3"/>
  <c r="I32" i="3"/>
  <c r="I5" i="3"/>
  <c r="I22" i="3"/>
  <c r="I46" i="3"/>
  <c r="I41" i="3"/>
  <c r="I8" i="3"/>
  <c r="I24" i="3"/>
  <c r="I4" i="3"/>
  <c r="I10" i="3"/>
  <c r="I9" i="3"/>
  <c r="I16" i="3"/>
  <c r="I30" i="3"/>
  <c r="I37" i="3"/>
  <c r="I6" i="3"/>
  <c r="I14" i="3"/>
  <c r="I18" i="3"/>
  <c r="I45" i="3"/>
  <c r="I33" i="3"/>
  <c r="I2" i="3"/>
  <c r="I29" i="3"/>
  <c r="I19" i="3"/>
  <c r="I26" i="3"/>
  <c r="I28" i="3"/>
  <c r="I44" i="3"/>
  <c r="I39" i="3"/>
  <c r="I25" i="3"/>
  <c r="I7" i="3"/>
  <c r="I31" i="3"/>
  <c r="I35" i="3"/>
  <c r="I40" i="3"/>
  <c r="H23" i="3"/>
  <c r="H17" i="3"/>
  <c r="H38" i="3"/>
  <c r="H42" i="3"/>
  <c r="H12" i="3"/>
  <c r="H43" i="3"/>
  <c r="H36" i="3"/>
  <c r="H21" i="3"/>
  <c r="H15" i="3"/>
  <c r="H20" i="3"/>
  <c r="H27" i="3"/>
  <c r="H13" i="3"/>
  <c r="H3" i="3"/>
  <c r="H11" i="3"/>
  <c r="H34" i="3"/>
  <c r="H32" i="3"/>
  <c r="H5" i="3"/>
  <c r="H22" i="3"/>
  <c r="H46" i="3"/>
  <c r="H41" i="3"/>
  <c r="H8" i="3"/>
  <c r="H24" i="3"/>
  <c r="H4" i="3"/>
  <c r="H10" i="3"/>
  <c r="H9" i="3"/>
  <c r="H16" i="3"/>
  <c r="H30" i="3"/>
  <c r="H37" i="3"/>
  <c r="H6" i="3"/>
  <c r="H14" i="3"/>
  <c r="H18" i="3"/>
  <c r="H45" i="3"/>
  <c r="H33" i="3"/>
  <c r="H2" i="3"/>
  <c r="H29" i="3"/>
  <c r="H19" i="3"/>
  <c r="H26" i="3"/>
  <c r="H28" i="3"/>
  <c r="H44" i="3"/>
  <c r="H39" i="3"/>
  <c r="H25" i="3"/>
  <c r="H7" i="3"/>
  <c r="H31" i="3"/>
  <c r="H35" i="3"/>
  <c r="H40" i="3"/>
  <c r="G23" i="3"/>
  <c r="G17" i="3"/>
  <c r="G38" i="3"/>
  <c r="G42" i="3"/>
  <c r="G12" i="3"/>
  <c r="G43" i="3"/>
  <c r="G36" i="3"/>
  <c r="G21" i="3"/>
  <c r="G15" i="3"/>
  <c r="G20" i="3"/>
  <c r="G27" i="3"/>
  <c r="G13" i="3"/>
  <c r="G3" i="3"/>
  <c r="G11" i="3"/>
  <c r="G34" i="3"/>
  <c r="G32" i="3"/>
  <c r="G5" i="3"/>
  <c r="G22" i="3"/>
  <c r="G46" i="3"/>
  <c r="G41" i="3"/>
  <c r="G8" i="3"/>
  <c r="G24" i="3"/>
  <c r="G4" i="3"/>
  <c r="G10" i="3"/>
  <c r="G9" i="3"/>
  <c r="G16" i="3"/>
  <c r="G30" i="3"/>
  <c r="G37" i="3"/>
  <c r="G6" i="3"/>
  <c r="G14" i="3"/>
  <c r="G18" i="3"/>
  <c r="G45" i="3"/>
  <c r="G33" i="3"/>
  <c r="G2" i="3"/>
  <c r="G29" i="3"/>
  <c r="G19" i="3"/>
  <c r="G26" i="3"/>
  <c r="G28" i="3"/>
  <c r="G44" i="3"/>
  <c r="G39" i="3"/>
  <c r="G25" i="3"/>
  <c r="G7" i="3"/>
  <c r="G31" i="3"/>
  <c r="G35" i="3"/>
  <c r="G40" i="3"/>
  <c r="F23" i="3"/>
  <c r="F17" i="3"/>
  <c r="F38" i="3"/>
  <c r="F42" i="3"/>
  <c r="F12" i="3"/>
  <c r="F43" i="3"/>
  <c r="F36" i="3"/>
  <c r="F21" i="3"/>
  <c r="F15" i="3"/>
  <c r="F20" i="3"/>
  <c r="F27" i="3"/>
  <c r="F13" i="3"/>
  <c r="F3" i="3"/>
  <c r="F11" i="3"/>
  <c r="F34" i="3"/>
  <c r="F32" i="3"/>
  <c r="F5" i="3"/>
  <c r="F22" i="3"/>
  <c r="F46" i="3"/>
  <c r="F41" i="3"/>
  <c r="F8" i="3"/>
  <c r="F24" i="3"/>
  <c r="F4" i="3"/>
  <c r="F10" i="3"/>
  <c r="F9" i="3"/>
  <c r="F16" i="3"/>
  <c r="F30" i="3"/>
  <c r="F37" i="3"/>
  <c r="F6" i="3"/>
  <c r="F14" i="3"/>
  <c r="F18" i="3"/>
  <c r="F45" i="3"/>
  <c r="F33" i="3"/>
  <c r="F2" i="3"/>
  <c r="F29" i="3"/>
  <c r="F19" i="3"/>
  <c r="F26" i="3"/>
  <c r="F28" i="3"/>
  <c r="F44" i="3"/>
  <c r="F39" i="3"/>
  <c r="F25" i="3"/>
  <c r="F7" i="3"/>
  <c r="F31" i="3"/>
  <c r="F35" i="3"/>
  <c r="F40" i="3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A35" i="1"/>
  <c r="A26" i="1"/>
  <c r="A7" i="1"/>
  <c r="A12" i="1"/>
  <c r="A38" i="1"/>
  <c r="A21" i="1"/>
  <c r="A36" i="1"/>
  <c r="A6" i="1"/>
  <c r="A34" i="1"/>
  <c r="A23" i="1"/>
  <c r="A15" i="1"/>
  <c r="A46" i="1"/>
  <c r="A9" i="1"/>
  <c r="A42" i="1"/>
  <c r="A29" i="1"/>
  <c r="A22" i="1"/>
  <c r="A20" i="1"/>
  <c r="A5" i="1"/>
  <c r="A43" i="1"/>
  <c r="A14" i="1"/>
  <c r="A24" i="1"/>
  <c r="A32" i="1"/>
  <c r="A19" i="1"/>
  <c r="A27" i="1"/>
  <c r="A16" i="1"/>
  <c r="A44" i="1"/>
  <c r="A3" i="1"/>
  <c r="A10" i="1"/>
  <c r="A45" i="1"/>
  <c r="A30" i="1"/>
  <c r="A13" i="1"/>
  <c r="A2" i="1"/>
  <c r="A37" i="1"/>
  <c r="A41" i="1"/>
  <c r="A8" i="1"/>
  <c r="A4" i="1"/>
  <c r="A39" i="1"/>
  <c r="A11" i="1"/>
  <c r="A25" i="1"/>
  <c r="A17" i="1"/>
  <c r="A40" i="1"/>
  <c r="A18" i="1"/>
  <c r="A31" i="1"/>
  <c r="A33" i="1"/>
  <c r="A28" i="1"/>
  <c r="O33" i="1" l="1"/>
  <c r="O19" i="1"/>
  <c r="O46" i="1"/>
  <c r="O32" i="1"/>
  <c r="O18" i="1"/>
  <c r="O3" i="1"/>
  <c r="O5" i="1"/>
  <c r="O4" i="1"/>
  <c r="O42" i="1"/>
  <c r="O28" i="1"/>
  <c r="O40" i="1"/>
  <c r="O26" i="1"/>
  <c r="O12" i="1"/>
  <c r="O41" i="1"/>
  <c r="O27" i="1"/>
  <c r="O13" i="1"/>
  <c r="O11" i="1"/>
  <c r="O38" i="1"/>
  <c r="O43" i="1"/>
  <c r="O15" i="1"/>
  <c r="O36" i="1"/>
  <c r="O8" i="1"/>
  <c r="O35" i="1"/>
  <c r="O21" i="1"/>
  <c r="O7" i="1"/>
  <c r="O22" i="1"/>
  <c r="O34" i="1"/>
  <c r="O20" i="1"/>
  <c r="O6" i="1"/>
  <c r="O39" i="1"/>
  <c r="O24" i="1"/>
  <c r="O37" i="1"/>
  <c r="O9" i="1"/>
  <c r="O45" i="1"/>
  <c r="O17" i="1"/>
  <c r="O44" i="1"/>
  <c r="O30" i="1"/>
  <c r="O16" i="1"/>
  <c r="O2" i="1"/>
  <c r="O25" i="1"/>
  <c r="O10" i="1"/>
  <c r="O23" i="1"/>
  <c r="O31" i="1"/>
  <c r="O29" i="1"/>
  <c r="O14" i="1"/>
  <c r="J44" i="3"/>
  <c r="J9" i="3"/>
  <c r="J27" i="3"/>
  <c r="J15" i="3"/>
  <c r="J28" i="3"/>
  <c r="J10" i="3"/>
  <c r="J20" i="3"/>
  <c r="J29" i="3"/>
  <c r="J8" i="3"/>
  <c r="J36" i="3"/>
  <c r="J2" i="3"/>
  <c r="J41" i="3"/>
  <c r="J43" i="3"/>
  <c r="J33" i="3"/>
  <c r="J46" i="3"/>
  <c r="J12" i="3"/>
  <c r="J45" i="3"/>
  <c r="J22" i="3"/>
  <c r="J42" i="3"/>
  <c r="J40" i="3"/>
  <c r="J18" i="3"/>
  <c r="J5" i="3"/>
  <c r="J38" i="3"/>
  <c r="J35" i="3"/>
  <c r="J14" i="3"/>
  <c r="J32" i="3"/>
  <c r="J17" i="3"/>
  <c r="J31" i="3"/>
  <c r="J6" i="3"/>
  <c r="J34" i="3"/>
  <c r="J23" i="3"/>
  <c r="J7" i="3"/>
  <c r="J37" i="3"/>
  <c r="J11" i="3"/>
  <c r="J25" i="3"/>
  <c r="J30" i="3"/>
  <c r="J3" i="3"/>
  <c r="J39" i="3"/>
  <c r="J16" i="3"/>
  <c r="J13" i="3"/>
  <c r="J26" i="3"/>
  <c r="J4" i="3"/>
  <c r="J19" i="3"/>
  <c r="J24" i="3"/>
  <c r="J21" i="3"/>
  <c r="Q7" i="1" l="1"/>
  <c r="Q29" i="1"/>
  <c r="Q9" i="1"/>
  <c r="Q37" i="1"/>
  <c r="Q20" i="1"/>
  <c r="Q5" i="1"/>
  <c r="Q21" i="1"/>
  <c r="Q10" i="1"/>
  <c r="Q6" i="1"/>
  <c r="Q31" i="1"/>
  <c r="Q35" i="1"/>
  <c r="Q32" i="1"/>
  <c r="Q33" i="1"/>
  <c r="Q36" i="1"/>
  <c r="Q41" i="1"/>
  <c r="Q3" i="1"/>
  <c r="Q11" i="1"/>
  <c r="Q26" i="1"/>
  <c r="Q23" i="1"/>
  <c r="Q17" i="1"/>
  <c r="Q40" i="1"/>
  <c r="Q12" i="1"/>
  <c r="Q13" i="1"/>
  <c r="Q27" i="1"/>
  <c r="Q43" i="1"/>
  <c r="Q16" i="1"/>
  <c r="Q38" i="1"/>
  <c r="Q15" i="1"/>
  <c r="Q4" i="1"/>
  <c r="Q24" i="1"/>
  <c r="Q18" i="1"/>
  <c r="Q44" i="1"/>
  <c r="Q14" i="1"/>
  <c r="Q22" i="1"/>
  <c r="Q8" i="1"/>
  <c r="Q2" i="1"/>
  <c r="Q45" i="1"/>
  <c r="Q42" i="1"/>
  <c r="Q19" i="1"/>
  <c r="Q39" i="1"/>
  <c r="Q25" i="1"/>
  <c r="Q28" i="1"/>
  <c r="Q30" i="1"/>
  <c r="Q46" i="1"/>
  <c r="Q34" i="1"/>
  <c r="R2" i="1" l="1"/>
  <c r="R32" i="1"/>
  <c r="R46" i="1"/>
  <c r="R19" i="1"/>
  <c r="R33" i="1"/>
  <c r="R7" i="1"/>
  <c r="R21" i="1"/>
  <c r="R37" i="1"/>
  <c r="R24" i="1"/>
  <c r="R25" i="1"/>
  <c r="R39" i="1"/>
  <c r="R26" i="1"/>
  <c r="R16" i="1"/>
  <c r="R14" i="1"/>
  <c r="R29" i="1"/>
  <c r="R3" i="1"/>
  <c r="R18" i="1"/>
  <c r="R5" i="1"/>
  <c r="R22" i="1"/>
  <c r="R36" i="1"/>
  <c r="R9" i="1"/>
  <c r="R23" i="1"/>
  <c r="R38" i="1"/>
  <c r="R40" i="1"/>
  <c r="R30" i="1"/>
  <c r="R45" i="1"/>
  <c r="R8" i="1"/>
  <c r="R27" i="1"/>
  <c r="R28" i="1"/>
  <c r="R42" i="1"/>
  <c r="R4" i="1"/>
  <c r="R20" i="1"/>
  <c r="R34" i="1"/>
  <c r="R35" i="1"/>
  <c r="R10" i="1"/>
  <c r="R44" i="1"/>
  <c r="R17" i="1"/>
  <c r="R31" i="1"/>
  <c r="R6" i="1"/>
  <c r="R11" i="1"/>
  <c r="R12" i="1"/>
  <c r="R13" i="1"/>
  <c r="R41" i="1"/>
  <c r="R15" i="1"/>
  <c r="R43" i="1"/>
</calcChain>
</file>

<file path=xl/sharedStrings.xml><?xml version="1.0" encoding="utf-8"?>
<sst xmlns="http://schemas.openxmlformats.org/spreadsheetml/2006/main" count="178" uniqueCount="119">
  <si>
    <t>ID</t>
  </si>
  <si>
    <t>https://youtu.be/pJ5u0tLHm8Q?si=21cEr4pWSLfQN_XA</t>
  </si>
  <si>
    <t>Raime</t>
  </si>
  <si>
    <t>Boss</t>
  </si>
  <si>
    <t>Pale Stag</t>
  </si>
  <si>
    <t>Savage Beastfly</t>
  </si>
  <si>
    <t>Plasmified Zago</t>
  </si>
  <si>
    <t>Gurr the Outcast</t>
  </si>
  <si>
    <t>Summoned Savior</t>
  </si>
  <si>
    <t>Groal the Great</t>
  </si>
  <si>
    <t>Moss Mother</t>
  </si>
  <si>
    <t>Father of the Flame</t>
  </si>
  <si>
    <t>Skull Tyrant</t>
  </si>
  <si>
    <t>Broodmother</t>
  </si>
  <si>
    <t>Crawfather</t>
  </si>
  <si>
    <t>The Unraveled</t>
  </si>
  <si>
    <t>Sister Splinter</t>
  </si>
  <si>
    <t>Bell Beast</t>
  </si>
  <si>
    <t>Forebrothers Signis and Gron</t>
  </si>
  <si>
    <t>Pinstress</t>
  </si>
  <si>
    <t>Watcher at thhe Edge</t>
  </si>
  <si>
    <t>Disgraced Chef Luigoli</t>
  </si>
  <si>
    <t>Bell Eater</t>
  </si>
  <si>
    <t>Voltvyrm</t>
  </si>
  <si>
    <t>Great Conchflies</t>
  </si>
  <si>
    <t>Nyleth</t>
  </si>
  <si>
    <t>Lace 1</t>
  </si>
  <si>
    <t>Raging Conchfly</t>
  </si>
  <si>
    <t>Moorwing</t>
  </si>
  <si>
    <t>Fourth Chorus</t>
  </si>
  <si>
    <t>Trobbio</t>
  </si>
  <si>
    <t>Clover Dancers</t>
  </si>
  <si>
    <t>Lace 2</t>
  </si>
  <si>
    <t>Lost Garmond</t>
  </si>
  <si>
    <t>Phantom</t>
  </si>
  <si>
    <t>Tormented Trobbio</t>
  </si>
  <si>
    <t>Crust King Khann</t>
  </si>
  <si>
    <t>Widow</t>
  </si>
  <si>
    <t>Lost Lace</t>
  </si>
  <si>
    <t>Second Sentinel</t>
  </si>
  <si>
    <t>Cogwork Dancers</t>
  </si>
  <si>
    <t>Shrine Guardian Seth</t>
  </si>
  <si>
    <t>Last Judge</t>
  </si>
  <si>
    <t>Skarsinger Kamelita</t>
  </si>
  <si>
    <t>First Sinner</t>
  </si>
  <si>
    <t>https://youtu.be/OytGsTy2wG8?si=p-WW9L29EpUG3JWn</t>
  </si>
  <si>
    <t>Ratheil</t>
  </si>
  <si>
    <t>Craggler</t>
  </si>
  <si>
    <t>Moss Mother Duo</t>
  </si>
  <si>
    <t>Max</t>
  </si>
  <si>
    <t>Average</t>
  </si>
  <si>
    <t>Min</t>
  </si>
  <si>
    <t>Standard Deviation</t>
  </si>
  <si>
    <t>Shakra</t>
  </si>
  <si>
    <t>Grand Mother Silk</t>
  </si>
  <si>
    <t>https://youtu.be/c8wCUlPY30s?si=53uFu9r4nWVW3Qfx</t>
  </si>
  <si>
    <t>Sunburned Albino</t>
  </si>
  <si>
    <t>Incoherent Archives</t>
  </si>
  <si>
    <t>Act</t>
  </si>
  <si>
    <t>Average of Average</t>
  </si>
  <si>
    <t>Row Labels</t>
  </si>
  <si>
    <t>Grand Total</t>
  </si>
  <si>
    <t>Act_Rank</t>
  </si>
  <si>
    <t>Magicat</t>
  </si>
  <si>
    <t>https://youtu.be/XsGrjBafoGE?si=p4AnTMV2rph4r_U_</t>
  </si>
  <si>
    <t>Video</t>
  </si>
  <si>
    <t>Creator</t>
  </si>
  <si>
    <t>https://youtu.be/ys4TVYwCJCg?si=5UeqFS4obPIyZRNC</t>
  </si>
  <si>
    <t>Act_Rank_Reverse</t>
  </si>
  <si>
    <t>Me</t>
  </si>
  <si>
    <t>Range</t>
  </si>
  <si>
    <t>Me_vs_Others</t>
  </si>
  <si>
    <t>Image</t>
  </si>
  <si>
    <t>https://youtu.be/00rXa-VboV8?si=P5CsSXCPbCzA9GCD</t>
  </si>
  <si>
    <t>https://youtu.be/00rXa-VboV8?si=P5CsSXCPbCzA9GCD&amp;t=60</t>
  </si>
  <si>
    <t>https://youtu.be/00rXa-VboV8?si=P5CsSXCPbCzA9GCD&amp;t=186</t>
  </si>
  <si>
    <t>https://youtu.be/00rXa-VboV8?si=P5CsSXCPbCzA9GCD&amp;t=348</t>
  </si>
  <si>
    <t>https://youtu.be/00rXa-VboV8?si=P5CsSXCPbCzA9GCD&amp;t=510</t>
  </si>
  <si>
    <t>https://youtu.be/00rXa-VboV8?si=P5CsSXCPbCzA9GCD&amp;t=648</t>
  </si>
  <si>
    <t>https://youtu.be/00rXa-VboV8?si=P5CsSXCPbCzA9GCD&amp;t=803</t>
  </si>
  <si>
    <t>https://youtu.be/00rXa-VboV8?si=P5CsSXCPbCzA9GCD&amp;t=1008</t>
  </si>
  <si>
    <t>https://youtu.be/00rXa-VboV8?si=5QJqIaSBqcRvJnoa&amp;t=1245</t>
  </si>
  <si>
    <t>https://youtu.be/00rXa-VboV8?si=5QJqIaSBqcRvJnoa&amp;t=1380</t>
  </si>
  <si>
    <t>https://youtu.be/00rXa-VboV8?si=5QJqIaSBqcRvJnoa&amp;t=1500</t>
  </si>
  <si>
    <t>https://youtu.be/00rXa-VboV8?si=5QJqIaSBqcRvJnoa&amp;t=1770</t>
  </si>
  <si>
    <t>https://youtu.be/00rXa-VboV8?si=5QJqIaSBqcRvJnoa&amp;t=2306</t>
  </si>
  <si>
    <t>https://youtu.be/00rXa-VboV8?si=5QJqIaSBqcRvJnoa&amp;t=2070</t>
  </si>
  <si>
    <t>https://youtu.be/00rXa-VboV8?si=5QJqIaSBqcRvJnoa&amp;t=2689</t>
  </si>
  <si>
    <t>https://youtu.be/00rXa-VboV8?si=5QJqIaSBqcRvJnoa&amp;t=3116</t>
  </si>
  <si>
    <t>https://youtu.be/00rXa-VboV8?si=5QJqIaSBqcRvJnoa&amp;t=3220</t>
  </si>
  <si>
    <t>https://youtu.be/00rXa-VboV8?si=5QJqIaSBqcRvJnoa&amp;t=3498</t>
  </si>
  <si>
    <t>https://youtu.be/00rXa-VboV8?si=5QJqIaSBqcRvJnoa&amp;t=3630</t>
  </si>
  <si>
    <t>https://youtu.be/00rXa-VboV8?si=5QJqIaSBqcRvJnoa&amp;t=3752</t>
  </si>
  <si>
    <t>https://youtu.be/00rXa-VboV8?si=5QJqIaSBqcRvJnoa&amp;t=3995</t>
  </si>
  <si>
    <t>https://youtu.be/00rXa-VboV8?si=5QJqIaSBqcRvJnoa&amp;t=4210</t>
  </si>
  <si>
    <t>https://youtu.be/00rXa-VboV8?si=5QJqIaSBqcRvJnoa&amp;t=4673</t>
  </si>
  <si>
    <t>https://youtu.be/00rXa-VboV8?si=5QJqIaSBqcRvJnoa&amp;t=4874</t>
  </si>
  <si>
    <t>https://youtu.be/00rXa-VboV8?si=5QJqIaSBqcRvJnoa&amp;t=5010</t>
  </si>
  <si>
    <t>https://youtu.be/00rXa-VboV8?si=5QJqIaSBqcRvJnoa&amp;t=5175</t>
  </si>
  <si>
    <t>https://youtu.be/00rXa-VboV8?si=5QJqIaSBqcRvJnoa&amp;t=5366</t>
  </si>
  <si>
    <t>https://youtu.be/00rXa-VboV8?si=5QJqIaSBqcRvJnoa&amp;t=5828</t>
  </si>
  <si>
    <t>https://youtu.be/00rXa-VboV8?si=5QJqIaSBqcRvJnoa&amp;t=6000</t>
  </si>
  <si>
    <t>https://youtu.be/00rXa-VboV8?si=5QJqIaSBqcRvJnoa&amp;t=6180</t>
  </si>
  <si>
    <t>https://youtu.be/00rXa-VboV8?si=5QJqIaSBqcRvJnoa&amp;t=6325</t>
  </si>
  <si>
    <t>https://youtu.be/00rXa-VboV8?si=5QJqIaSBqcRvJnoa&amp;t=6416</t>
  </si>
  <si>
    <t>https://youtu.be/00rXa-VboV8?si=dRTc5nt0FjzaxIXg&amp;t=6494</t>
  </si>
  <si>
    <t>https://youtu.be/00rXa-VboV8?si=dRTc5nt0FjzaxIXg&amp;t=6558</t>
  </si>
  <si>
    <t>https://youtu.be/00rXa-VboV8?si=dRTc5nt0FjzaxIXg&amp;t=6795</t>
  </si>
  <si>
    <t>https://youtu.be/00rXa-VboV8?si=dRTc5nt0FjzaxIXg&amp;t=7055</t>
  </si>
  <si>
    <t>https://youtu.be/00rXa-VboV8?si=dRTc5nt0FjzaxIXg&amp;t=7173</t>
  </si>
  <si>
    <t>https://youtu.be/00rXa-VboV8?si=dRTc5nt0FjzaxIXg&amp;t=7240</t>
  </si>
  <si>
    <t>https://youtu.be/00rXa-VboV8?si=dRTc5nt0FjzaxIXg&amp;t=7386</t>
  </si>
  <si>
    <t>https://youtu.be/00rXa-VboV8?si=dRTc5nt0FjzaxIXg&amp;t=7635</t>
  </si>
  <si>
    <t>https://youtu.be/00rXa-VboV8?si=dRTc5nt0FjzaxIXg&amp;t=7797</t>
  </si>
  <si>
    <t>https://youtu.be/00rXa-VboV8?si=dRTc5nt0FjzaxIXg&amp;t=7930</t>
  </si>
  <si>
    <t>https://youtu.be/Av6b4_BKXlM?si=BR28F0rmy5n_Nfu-</t>
  </si>
  <si>
    <t>Skarsinger Karmelita</t>
  </si>
  <si>
    <t>https://youtu.be/xJstJdZhKDM?si=Y8I4-Bjy62nWpe4o</t>
  </si>
  <si>
    <t>https://youtu.be/8o066Ii3_v0?si=VV0x44c49dbIKYgC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</si>
</sst>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19"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[Hollow Knight Silksong Boss Rankings.xlsx]Sheet1!PivotTable1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Sheet1!$B$2:$B$5</c:f>
              <c:numCache>
                <c:formatCode>0.0</c:formatCode>
                <c:ptCount val="3"/>
                <c:pt idx="0">
                  <c:v>23.630000000000003</c:v>
                </c:pt>
                <c:pt idx="1">
                  <c:v>20.862222222222218</c:v>
                </c:pt>
                <c:pt idx="2">
                  <c:v>20.66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5E-453A-8A7C-E535405DE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3586976"/>
        <c:axId val="1773589856"/>
      </c:barChart>
      <c:catAx>
        <c:axId val="177358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589856"/>
        <c:crosses val="autoZero"/>
        <c:auto val="1"/>
        <c:lblAlgn val="ctr"/>
        <c:lblOffset val="100"/>
        <c:noMultiLvlLbl val="0"/>
      </c:catAx>
      <c:valAx>
        <c:axId val="177358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58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426720</xdr:colOff>
      <xdr:row>6</xdr:row>
      <xdr:rowOff>129540</xdr:rowOff>
    </xdr:from>
    <xdr:to>
      <xdr:col>6</xdr:col>
      <xdr:colOff>487680</xdr:colOff>
      <xdr:row>21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F1DB5C-BC30-FB21-3388-2F7603F40E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J" refreshedDate="45931.407140972224" createdVersion="8" refreshedVersion="8" minRefreshableVersion="3" recordCount="45" xr:uid="{9CA5EB68-6FC9-410A-BF99-099279FA274A}">
  <cacheSource type="worksheet">
    <worksheetSource name="QualityTable"/>
  </cacheSource>
  <cacheFields count="16">
    <cacheField name="ID" numFmtId="0">
      <sharedItems containsSemiMixedTypes="0" containsString="0" containsNumber="1" containsInteger="1" minValue="1" maxValue="45"/>
    </cacheField>
    <cacheField name="Boss" numFmtId="0">
      <sharedItems/>
    </cacheField>
    <cacheField name="Act" numFmtId="0">
      <sharedItems containsSemiMixedTypes="0" containsString="0" containsNumber="1" containsInteger="1" minValue="1" maxValue="3" count="3">
        <n v="3"/>
        <n v="2"/>
        <n v="1"/>
      </sharedItems>
    </cacheField>
    <cacheField name="Raime" numFmtId="0">
      <sharedItems containsString="0" containsBlank="1" containsNumber="1" containsInteger="1" minValue="1" maxValue="42"/>
    </cacheField>
    <cacheField name="Incoherent Archives" numFmtId="0">
      <sharedItems containsString="0" containsBlank="1" containsNumber="1" containsInteger="1" minValue="1" maxValue="36"/>
    </cacheField>
    <cacheField name="Magicat" numFmtId="0">
      <sharedItems containsString="0" containsBlank="1" containsNumber="1" containsInteger="1" minValue="1" maxValue="40"/>
    </cacheField>
    <cacheField name="Ratheil" numFmtId="0">
      <sharedItems containsString="0" containsBlank="1" containsNumber="1" containsInteger="1" minValue="1" maxValue="43"/>
    </cacheField>
    <cacheField name="Me" numFmtId="0">
      <sharedItems containsString="0" containsBlank="1" containsNumber="1" containsInteger="1" minValue="1" maxValue="40"/>
    </cacheField>
    <cacheField name="Average" numFmtId="0">
      <sharedItems containsSemiMixedTypes="0" containsString="0" containsNumber="1" minValue="2" maxValue="42"/>
    </cacheField>
    <cacheField name="Me_vs_Others" numFmtId="0">
      <sharedItems containsSemiMixedTypes="0" containsString="0" containsNumber="1" minValue="-42" maxValue="8.8000000000000007"/>
    </cacheField>
    <cacheField name="Max" numFmtId="0">
      <sharedItems containsSemiMixedTypes="0" containsString="0" containsNumber="1" containsInteger="1" minValue="3" maxValue="43"/>
    </cacheField>
    <cacheField name="Min" numFmtId="0">
      <sharedItems containsSemiMixedTypes="0" containsString="0" containsNumber="1" containsInteger="1" minValue="1" maxValue="42"/>
    </cacheField>
    <cacheField name="Range" numFmtId="0">
      <sharedItems containsSemiMixedTypes="0" containsString="0" containsNumber="1" containsInteger="1" minValue="0" maxValue="25"/>
    </cacheField>
    <cacheField name="Standard Deviation" numFmtId="0">
      <sharedItems containsSemiMixedTypes="0" containsString="0" containsNumber="1" minValue="0" maxValue="8.57"/>
    </cacheField>
    <cacheField name="Act_Rank" numFmtId="1">
      <sharedItems containsSemiMixedTypes="0" containsString="0" containsNumber="1" containsInteger="1" minValue="1" maxValue="15"/>
    </cacheField>
    <cacheField name="Act_Rank_Reverse" numFmtId="1">
      <sharedItems containsSemiMixedTypes="0" containsString="0" containsNumber="1" containsInteger="1" minValue="0" maxValue="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n v="1"/>
    <s v="Skarsinger Kamelita"/>
    <x v="0"/>
    <n v="2"/>
    <n v="2"/>
    <n v="1"/>
    <n v="2"/>
    <n v="3"/>
    <n v="2"/>
    <n v="1.3"/>
    <n v="3"/>
    <n v="1"/>
    <n v="2"/>
    <n v="0.63"/>
    <n v="1"/>
    <n v="14"/>
  </r>
  <r>
    <n v="2"/>
    <s v="Lost Lace"/>
    <x v="0"/>
    <n v="7"/>
    <n v="1"/>
    <n v="2"/>
    <n v="1"/>
    <n v="1"/>
    <n v="2.4"/>
    <n v="-1.8"/>
    <n v="7"/>
    <n v="1"/>
    <n v="6"/>
    <n v="2.33"/>
    <n v="2"/>
    <n v="13"/>
  </r>
  <r>
    <n v="3"/>
    <s v="First Sinner"/>
    <x v="1"/>
    <n v="1"/>
    <n v="3"/>
    <n v="3"/>
    <n v="3"/>
    <n v="2"/>
    <n v="2.4"/>
    <n v="-0.5"/>
    <n v="3"/>
    <n v="1"/>
    <n v="2"/>
    <n v="0.8"/>
    <n v="1"/>
    <n v="14"/>
  </r>
  <r>
    <n v="4"/>
    <s v="Cogwork Dancers"/>
    <x v="1"/>
    <n v="5"/>
    <n v="5"/>
    <n v="7"/>
    <n v="6"/>
    <n v="7"/>
    <n v="6"/>
    <n v="1.3"/>
    <n v="7"/>
    <n v="5"/>
    <n v="2"/>
    <n v="0.89"/>
    <n v="2"/>
    <n v="13"/>
  </r>
  <r>
    <n v="5"/>
    <s v="Last Judge"/>
    <x v="2"/>
    <n v="3"/>
    <n v="9"/>
    <n v="17"/>
    <n v="4"/>
    <n v="4"/>
    <n v="7.4"/>
    <n v="-4.3"/>
    <n v="17"/>
    <n v="3"/>
    <n v="14"/>
    <n v="5.24"/>
    <n v="1"/>
    <n v="14"/>
  </r>
  <r>
    <n v="6"/>
    <s v="Lace 2"/>
    <x v="1"/>
    <n v="14"/>
    <n v="8"/>
    <n v="5"/>
    <n v="8"/>
    <n v="5"/>
    <n v="8"/>
    <n v="-3.8"/>
    <n v="14"/>
    <n v="5"/>
    <n v="9"/>
    <n v="3.29"/>
    <n v="3"/>
    <n v="12"/>
  </r>
  <r>
    <n v="7"/>
    <s v="Widow"/>
    <x v="2"/>
    <n v="9"/>
    <n v="6"/>
    <n v="6"/>
    <n v="13"/>
    <n v="6"/>
    <n v="8"/>
    <n v="-2.5"/>
    <n v="13"/>
    <n v="6"/>
    <n v="7"/>
    <n v="2.76"/>
    <n v="2"/>
    <n v="13"/>
  </r>
  <r>
    <n v="8"/>
    <s v="Grand Mother Silk"/>
    <x v="1"/>
    <n v="8"/>
    <n v="4"/>
    <n v="14"/>
    <n v="7"/>
    <n v="8"/>
    <n v="8.1999999999999993"/>
    <n v="-0.3"/>
    <n v="14"/>
    <n v="4"/>
    <n v="10"/>
    <n v="3.25"/>
    <n v="4"/>
    <n v="11"/>
  </r>
  <r>
    <n v="9"/>
    <s v="Tormented Trobbio"/>
    <x v="0"/>
    <n v="11"/>
    <n v="7"/>
    <n v="9"/>
    <n v="5"/>
    <n v="9"/>
    <n v="8.1999999999999993"/>
    <n v="1"/>
    <n v="11"/>
    <n v="5"/>
    <n v="6"/>
    <n v="2.04"/>
    <n v="3"/>
    <n v="12"/>
  </r>
  <r>
    <n v="10"/>
    <s v="Second Sentinel"/>
    <x v="1"/>
    <n v="6"/>
    <m/>
    <n v="8"/>
    <n v="15"/>
    <n v="12"/>
    <n v="10.25"/>
    <n v="2.2999999999999998"/>
    <n v="15"/>
    <n v="6"/>
    <n v="9"/>
    <n v="3.49"/>
    <n v="5"/>
    <n v="10"/>
  </r>
  <r>
    <n v="11"/>
    <s v="Trobbio"/>
    <x v="1"/>
    <n v="16"/>
    <n v="10"/>
    <n v="9"/>
    <n v="9"/>
    <n v="10"/>
    <n v="10.8"/>
    <n v="-1"/>
    <n v="16"/>
    <n v="9"/>
    <n v="7"/>
    <n v="2.64"/>
    <n v="6"/>
    <n v="9"/>
  </r>
  <r>
    <n v="12"/>
    <s v="Phantom"/>
    <x v="2"/>
    <n v="12"/>
    <n v="13"/>
    <n v="12"/>
    <n v="10"/>
    <n v="15"/>
    <n v="12.4"/>
    <n v="3.3"/>
    <n v="15"/>
    <n v="10"/>
    <n v="5"/>
    <n v="1.62"/>
    <n v="3"/>
    <n v="12"/>
  </r>
  <r>
    <n v="13"/>
    <s v="Shrine Guardian Seth"/>
    <x v="0"/>
    <n v="4"/>
    <n v="29"/>
    <n v="10"/>
    <n v="12"/>
    <n v="11"/>
    <n v="13.2"/>
    <n v="-2.8"/>
    <n v="29"/>
    <n v="4"/>
    <n v="25"/>
    <n v="8.3800000000000008"/>
    <n v="4"/>
    <n v="11"/>
  </r>
  <r>
    <n v="14"/>
    <s v="Clover Dancers"/>
    <x v="0"/>
    <n v="15"/>
    <n v="12"/>
    <n v="4"/>
    <n v="22"/>
    <n v="14"/>
    <n v="13.4"/>
    <n v="0.8"/>
    <n v="22"/>
    <n v="4"/>
    <n v="18"/>
    <n v="5.78"/>
    <n v="5"/>
    <n v="10"/>
  </r>
  <r>
    <n v="15"/>
    <s v="Shakra"/>
    <x v="1"/>
    <m/>
    <n v="20"/>
    <m/>
    <n v="12"/>
    <n v="13"/>
    <n v="15"/>
    <n v="-3"/>
    <n v="20"/>
    <n v="12"/>
    <n v="8"/>
    <n v="3.56"/>
    <n v="7"/>
    <n v="8"/>
  </r>
  <r>
    <n v="16"/>
    <s v="Lace 1"/>
    <x v="2"/>
    <n v="20"/>
    <n v="16"/>
    <n v="13"/>
    <n v="14"/>
    <n v="16"/>
    <n v="15.8"/>
    <n v="0.3"/>
    <n v="20"/>
    <n v="13"/>
    <n v="7"/>
    <n v="2.4"/>
    <n v="4"/>
    <n v="11"/>
  </r>
  <r>
    <n v="17"/>
    <s v="Crust King Khann"/>
    <x v="0"/>
    <n v="10"/>
    <n v="17"/>
    <n v="15"/>
    <n v="20"/>
    <n v="17"/>
    <n v="15.8"/>
    <n v="1.5"/>
    <n v="20"/>
    <n v="10"/>
    <n v="10"/>
    <n v="3.31"/>
    <n v="6"/>
    <n v="9"/>
  </r>
  <r>
    <n v="18"/>
    <s v="Fourth Chorus"/>
    <x v="2"/>
    <n v="17"/>
    <n v="18"/>
    <n v="24"/>
    <n v="11"/>
    <n v="26"/>
    <n v="19.2"/>
    <n v="8.5"/>
    <n v="26"/>
    <n v="11"/>
    <n v="15"/>
    <n v="5.34"/>
    <n v="5"/>
    <n v="10"/>
  </r>
  <r>
    <n v="19"/>
    <s v="Raging Conchfly"/>
    <x v="2"/>
    <n v="19"/>
    <n v="11"/>
    <n v="11"/>
    <n v="34"/>
    <n v="23"/>
    <n v="19.600000000000001"/>
    <n v="4.3"/>
    <n v="34"/>
    <n v="11"/>
    <n v="23"/>
    <n v="8.57"/>
    <n v="6"/>
    <n v="9"/>
  </r>
  <r>
    <n v="20"/>
    <s v="Sister Splinter"/>
    <x v="2"/>
    <n v="30"/>
    <n v="14"/>
    <n v="20"/>
    <n v="17"/>
    <n v="18"/>
    <n v="19.8"/>
    <n v="-2.2999999999999998"/>
    <n v="30"/>
    <n v="14"/>
    <n v="16"/>
    <n v="5.46"/>
    <n v="7"/>
    <n v="8"/>
  </r>
  <r>
    <n v="21"/>
    <s v="Moorwing"/>
    <x v="2"/>
    <n v="18"/>
    <n v="21"/>
    <n v="18"/>
    <n v="27"/>
    <n v="19"/>
    <n v="20.6"/>
    <n v="-2"/>
    <n v="27"/>
    <n v="18"/>
    <n v="9"/>
    <n v="3.38"/>
    <n v="8"/>
    <n v="7"/>
  </r>
  <r>
    <n v="22"/>
    <s v="Crawfather"/>
    <x v="0"/>
    <n v="32"/>
    <n v="15"/>
    <n v="27"/>
    <n v="18"/>
    <n v="20"/>
    <n v="22.4"/>
    <n v="-3"/>
    <n v="32"/>
    <n v="15"/>
    <n v="17"/>
    <n v="6.22"/>
    <n v="7"/>
    <n v="8"/>
  </r>
  <r>
    <n v="23"/>
    <s v="Bell Eater"/>
    <x v="0"/>
    <n v="24"/>
    <n v="22"/>
    <n v="19"/>
    <n v="26"/>
    <n v="22"/>
    <n v="22.6"/>
    <n v="-0.8"/>
    <n v="26"/>
    <n v="19"/>
    <n v="7"/>
    <n v="2.33"/>
    <n v="8"/>
    <n v="7"/>
  </r>
  <r>
    <n v="24"/>
    <s v="Nyleth"/>
    <x v="0"/>
    <n v="21"/>
    <n v="23"/>
    <n v="25"/>
    <n v="16"/>
    <n v="30"/>
    <n v="23"/>
    <n v="8.8000000000000007"/>
    <n v="30"/>
    <n v="16"/>
    <n v="14"/>
    <n v="4.5999999999999996"/>
    <n v="9"/>
    <n v="6"/>
  </r>
  <r>
    <n v="25"/>
    <s v="Forebrothers Signis and Gron"/>
    <x v="1"/>
    <n v="28"/>
    <n v="27"/>
    <n v="16"/>
    <n v="24"/>
    <n v="21"/>
    <n v="23.2"/>
    <n v="-2.8"/>
    <n v="28"/>
    <n v="16"/>
    <n v="12"/>
    <n v="4.3499999999999996"/>
    <n v="8"/>
    <n v="7"/>
  </r>
  <r>
    <n v="26"/>
    <s v="Lost Garmond"/>
    <x v="0"/>
    <n v="13"/>
    <m/>
    <n v="26"/>
    <n v="29"/>
    <n v="25"/>
    <n v="23.25"/>
    <n v="2.2999999999999998"/>
    <n v="29"/>
    <n v="13"/>
    <n v="16"/>
    <n v="6.1"/>
    <n v="10"/>
    <n v="5"/>
  </r>
  <r>
    <n v="27"/>
    <s v="Watcher at thhe Edge"/>
    <x v="0"/>
    <n v="26"/>
    <m/>
    <n v="29"/>
    <n v="23"/>
    <m/>
    <n v="26"/>
    <n v="-26"/>
    <n v="29"/>
    <n v="23"/>
    <n v="6"/>
    <n v="2.4500000000000002"/>
    <n v="11"/>
    <n v="4"/>
  </r>
  <r>
    <n v="28"/>
    <s v="The Unraveled"/>
    <x v="1"/>
    <n v="31"/>
    <n v="32"/>
    <n v="30"/>
    <n v="19"/>
    <n v="24"/>
    <n v="27.2"/>
    <n v="-4"/>
    <n v="32"/>
    <n v="19"/>
    <n v="13"/>
    <n v="4.96"/>
    <n v="9"/>
    <n v="6"/>
  </r>
  <r>
    <n v="29"/>
    <s v="Bell Beast"/>
    <x v="2"/>
    <n v="29"/>
    <n v="30"/>
    <n v="22"/>
    <n v="28"/>
    <n v="27"/>
    <n v="27.2"/>
    <n v="-0.3"/>
    <n v="30"/>
    <n v="22"/>
    <n v="8"/>
    <n v="2.79"/>
    <n v="9"/>
    <n v="6"/>
  </r>
  <r>
    <n v="30"/>
    <s v="Great Conchflies"/>
    <x v="2"/>
    <n v="22"/>
    <n v="33"/>
    <n v="21"/>
    <n v="35"/>
    <n v="28"/>
    <n v="27.8"/>
    <n v="0.3"/>
    <n v="35"/>
    <n v="21"/>
    <n v="14"/>
    <n v="5.64"/>
    <n v="10"/>
    <n v="5"/>
  </r>
  <r>
    <n v="31"/>
    <s v="Pinstress"/>
    <x v="0"/>
    <n v="27"/>
    <n v="24"/>
    <n v="36"/>
    <n v="21"/>
    <n v="32"/>
    <n v="28"/>
    <n v="5"/>
    <n v="36"/>
    <n v="21"/>
    <n v="15"/>
    <n v="5.4"/>
    <n v="12"/>
    <n v="3"/>
  </r>
  <r>
    <n v="32"/>
    <s v="Moss Mother Duo"/>
    <x v="2"/>
    <m/>
    <n v="34"/>
    <n v="23"/>
    <n v="31"/>
    <n v="29"/>
    <n v="29.25"/>
    <n v="-0.3"/>
    <n v="34"/>
    <n v="23"/>
    <n v="11"/>
    <n v="4.0199999999999996"/>
    <n v="11"/>
    <n v="4"/>
  </r>
  <r>
    <n v="33"/>
    <s v="Disgraced Chef Luigoli"/>
    <x v="1"/>
    <n v="25"/>
    <n v="25"/>
    <n v="28"/>
    <n v="36"/>
    <n v="35"/>
    <n v="29.8"/>
    <n v="6.5"/>
    <n v="36"/>
    <n v="25"/>
    <n v="11"/>
    <n v="4.79"/>
    <n v="10"/>
    <n v="5"/>
  </r>
  <r>
    <n v="34"/>
    <s v="Broodmother"/>
    <x v="1"/>
    <n v="33"/>
    <n v="19"/>
    <n v="35"/>
    <n v="37"/>
    <n v="34"/>
    <n v="31.6"/>
    <n v="3"/>
    <n v="37"/>
    <n v="19"/>
    <n v="18"/>
    <n v="6.44"/>
    <n v="11"/>
    <n v="4"/>
  </r>
  <r>
    <n v="35"/>
    <s v="Voltvyrm"/>
    <x v="1"/>
    <n v="23"/>
    <m/>
    <n v="33"/>
    <n v="40"/>
    <m/>
    <n v="32"/>
    <n v="-32"/>
    <n v="40"/>
    <n v="23"/>
    <n v="17"/>
    <n v="6.98"/>
    <n v="12"/>
    <n v="3"/>
  </r>
  <r>
    <n v="36"/>
    <s v="Gurr the Outcast"/>
    <x v="0"/>
    <n v="39"/>
    <n v="28"/>
    <n v="33"/>
    <n v="25"/>
    <n v="37"/>
    <n v="32.4"/>
    <n v="5.8"/>
    <n v="39"/>
    <n v="25"/>
    <n v="14"/>
    <n v="5.28"/>
    <n v="13"/>
    <n v="2"/>
  </r>
  <r>
    <n v="37"/>
    <s v="Moss Mother"/>
    <x v="2"/>
    <n v="36"/>
    <n v="35"/>
    <n v="31"/>
    <n v="32"/>
    <n v="36"/>
    <n v="34"/>
    <n v="2.5"/>
    <n v="36"/>
    <n v="31"/>
    <n v="5"/>
    <n v="2.1"/>
    <n v="12"/>
    <n v="3"/>
  </r>
  <r>
    <n v="38"/>
    <s v="Father of the Flame"/>
    <x v="1"/>
    <n v="35"/>
    <m/>
    <n v="32"/>
    <n v="41"/>
    <n v="31"/>
    <n v="34.75"/>
    <n v="-5"/>
    <n v="41"/>
    <n v="31"/>
    <n v="10"/>
    <n v="3.9"/>
    <n v="13"/>
    <n v="2"/>
  </r>
  <r>
    <n v="39"/>
    <s v="Savage Beastfly"/>
    <x v="2"/>
    <n v="41"/>
    <n v="36"/>
    <n v="38"/>
    <n v="30"/>
    <n v="33"/>
    <n v="35.6"/>
    <n v="-3.3"/>
    <n v="41"/>
    <n v="30"/>
    <n v="11"/>
    <n v="3.83"/>
    <n v="13"/>
    <n v="2"/>
  </r>
  <r>
    <n v="40"/>
    <s v="Skull Tyrant"/>
    <x v="2"/>
    <n v="34"/>
    <n v="31"/>
    <n v="37"/>
    <n v="38"/>
    <n v="39"/>
    <n v="35.799999999999997"/>
    <n v="4"/>
    <n v="39"/>
    <n v="31"/>
    <n v="8"/>
    <n v="2.93"/>
    <n v="14"/>
    <n v="1"/>
  </r>
  <r>
    <n v="41"/>
    <s v="Groal the Great"/>
    <x v="1"/>
    <n v="37"/>
    <n v="26"/>
    <n v="40"/>
    <n v="39"/>
    <n v="40"/>
    <n v="36.4"/>
    <n v="4.5"/>
    <n v="40"/>
    <n v="26"/>
    <n v="14"/>
    <n v="5.31"/>
    <n v="14"/>
    <n v="1"/>
  </r>
  <r>
    <n v="42"/>
    <s v="Plasmified Zago"/>
    <x v="1"/>
    <n v="40"/>
    <m/>
    <n v="39"/>
    <n v="33"/>
    <m/>
    <n v="37.333333333333336"/>
    <n v="-37.299999999999997"/>
    <n v="40"/>
    <n v="33"/>
    <n v="7"/>
    <n v="3.09"/>
    <n v="15"/>
    <n v="0"/>
  </r>
  <r>
    <n v="43"/>
    <s v="Summoned Savior"/>
    <x v="0"/>
    <n v="38"/>
    <m/>
    <m/>
    <m/>
    <m/>
    <n v="38"/>
    <n v="-38"/>
    <n v="38"/>
    <n v="38"/>
    <n v="0"/>
    <n v="0"/>
    <n v="14"/>
    <n v="1"/>
  </r>
  <r>
    <n v="44"/>
    <s v="Pale Stag"/>
    <x v="0"/>
    <n v="42"/>
    <m/>
    <n v="34"/>
    <n v="43"/>
    <n v="38"/>
    <n v="39.25"/>
    <n v="-1.7"/>
    <n v="43"/>
    <n v="34"/>
    <n v="9"/>
    <n v="3.56"/>
    <n v="15"/>
    <n v="0"/>
  </r>
  <r>
    <n v="45"/>
    <s v="Craggler"/>
    <x v="2"/>
    <m/>
    <m/>
    <m/>
    <n v="42"/>
    <m/>
    <n v="42"/>
    <n v="-42"/>
    <n v="42"/>
    <n v="42"/>
    <n v="0"/>
    <n v="0"/>
    <n v="15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EBC400-0AD4-4498-A300-D2D82DFA32C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B5" firstHeaderRow="1" firstDataRow="1" firstDataCol="1"/>
  <pivotFields count="16"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" showAll="0"/>
    <pivotField numFmtI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verage" fld="8" subtotal="average" baseField="0" baseItem="0"/>
  </dataFields>
  <formats count="1">
    <format dxfId="18">
      <pivotArea collapsedLevelsAreSubtotals="1" fieldPosition="0">
        <references count="1">
          <reference field="2" count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CEFBDD-59FE-4C2D-8E7D-C1B76BE0AF72}" name="QualityTable" displayName="QualityTable" ref="A1:R46" totalsRowShown="0">
  <autoFilter ref="A1:R46" xr:uid="{49CEFBDD-59FE-4C2D-8E7D-C1B76BE0AF72}"/>
  <sortState xmlns:xlrd2="http://schemas.microsoft.com/office/spreadsheetml/2017/richdata2" ref="A2:R46">
    <sortCondition ref="B1:B46"/>
  </sortState>
  <tableColumns count="18">
    <tableColumn id="1" xr3:uid="{513B421C-E20A-4CE1-BB11-439F161A4329}" name="ID">
      <calculatedColumnFormula>ROW()-1</calculatedColumnFormula>
    </tableColumn>
    <tableColumn id="3" xr3:uid="{41544CA9-AB72-4557-B30B-486E0159305B}" name="Boss"/>
    <tableColumn id="11" xr3:uid="{41426B42-369C-40E7-B7C2-E38250FB5D84}" name="Act"/>
    <tableColumn id="16" xr3:uid="{4AE7E68E-DAB6-485E-9E28-8A0CB2650DE4}" name="Image" dataDxfId="17">
      <calculatedColumnFormula>"/Boss_Images/"&amp;SUBSTITUTE(QualityTable[[#This Row],[Boss]]," ","_")&amp;".png"</calculatedColumnFormula>
    </tableColumn>
    <tableColumn id="10" xr3:uid="{A953B013-1BCC-465F-B101-DD7C4B4A3463}" name="Video"/>
    <tableColumn id="2" xr3:uid="{43DF05CD-EC58-4594-91FA-FD87DF786F47}" name="Raime" dataDxfId="16"/>
    <tableColumn id="9" xr3:uid="{663C0CAD-50BD-4BEE-98FC-D147C46E2642}" name="Incoherent Archives" dataDxfId="15"/>
    <tableColumn id="13" xr3:uid="{D531CB73-EA13-4DFA-9400-1FC3D1F30998}" name="Magicat"/>
    <tableColumn id="4" xr3:uid="{7C95A894-43A4-4485-9E59-C3CCA390158F}" name="Ratheil"/>
    <tableColumn id="15" xr3:uid="{E99176EB-6AF7-484D-B605-0DD9224EE075}" name="Me"/>
    <tableColumn id="5" xr3:uid="{8B4FC495-0106-4ECE-BEE2-E865B9C43546}" name="Average" dataDxfId="14">
      <calculatedColumnFormula>AVERAGE(QualityTable[[#This Row],[Raime]]:QualityTable[[#This Row],[Me]])</calculatedColumnFormula>
    </tableColumn>
    <tableColumn id="18" xr3:uid="{5252CF6C-F344-43D7-B960-62B3877A07A2}" name="Me_vs_Others" dataDxfId="13">
      <calculatedColumnFormula>ROUND(QualityTable[[#This Row],[Me]]-AVERAGE(QualityTable[[#This Row],[Raime]]:QualityTable[[#This Row],[Ratheil]]),1)</calculatedColumnFormula>
    </tableColumn>
    <tableColumn id="6" xr3:uid="{A4D98C4B-9E90-4793-94CA-BC5C4E261C20}" name="Max" dataDxfId="12">
      <calculatedColumnFormula>MAX(QualityTable[[#This Row],[Raime]]:QualityTable[[#This Row],[Me]])</calculatedColumnFormula>
    </tableColumn>
    <tableColumn id="7" xr3:uid="{7CAEA435-F0B6-4570-A671-EBFAE7C55B4C}" name="Min" dataDxfId="11">
      <calculatedColumnFormula>MIN(QualityTable[[#This Row],[Raime]]:QualityTable[[#This Row],[Me]])</calculatedColumnFormula>
    </tableColumn>
    <tableColumn id="17" xr3:uid="{BC01477C-31C8-4EC7-A6EA-F98C754CB792}" name="Range" dataDxfId="10">
      <calculatedColumnFormula>QualityTable[[#This Row],[Max]]-QualityTable[[#This Row],[Min]]</calculatedColumnFormula>
    </tableColumn>
    <tableColumn id="8" xr3:uid="{DFD5107E-F855-49C7-BCE7-4950F34B3CFF}" name="Standard Deviation" dataDxfId="9">
      <calculatedColumnFormula>ROUND(_xlfn.STDEV.P(QualityTable[[#This Row],[Raime]]:QualityTable[[#This Row],[Me]]),2)</calculatedColumnFormula>
    </tableColumn>
    <tableColumn id="12" xr3:uid="{D4630ED6-416F-48F0-B386-E5C57AB13FCC}" name="Act_Rank" dataDxfId="8">
      <calculatedColumnFormula>COUNTIFS(QualityTable[Average],"&lt;="&amp;QualityTable[[#This Row],[Average]],QualityTable[Act],QualityTable[[#This Row],[Act]])</calculatedColumnFormula>
    </tableColumn>
    <tableColumn id="14" xr3:uid="{383920D4-A32C-4CE1-B9B3-475CF5DD128D}" name="Act_Rank_Reverse" dataDxfId="7">
      <calculatedColumnFormula>_xlfn.MAXIFS(QualityTable[Act_Rank],QualityTable[Act],QualityTable[[#This Row],[Act]])-QualityTable[[#This Row],[Act_Rank]]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20F0FE-887C-4F67-A92A-ECD63405FF49}" name="DifficultyTable" displayName="DifficultyTable" ref="A1:J46" totalsRowShown="0">
  <autoFilter ref="A1:J46" xr:uid="{49CEFBDD-59FE-4C2D-8E7D-C1B76BE0AF72}"/>
  <sortState xmlns:xlrd2="http://schemas.microsoft.com/office/spreadsheetml/2017/richdata2" ref="A2:J46">
    <sortCondition ref="B1:B46"/>
  </sortState>
  <tableColumns count="10">
    <tableColumn id="1" xr3:uid="{1D1B500C-A662-48D7-8C7C-2C864C8743AF}" name="ID">
      <calculatedColumnFormula>ROW()-1</calculatedColumnFormula>
    </tableColumn>
    <tableColumn id="3" xr3:uid="{7FF36F85-FBE8-491E-AC05-290B1FD75EEB}" name="Boss"/>
    <tableColumn id="4" xr3:uid="{9C527DCA-902C-4421-B7DA-5474B8499E28}" name="Act" dataDxfId="6"/>
    <tableColumn id="2" xr3:uid="{B51C4C2A-7351-4004-94B9-44D2C91594D6}" name="Sunburned Albino" dataDxfId="5"/>
    <tableColumn id="10" xr3:uid="{7DC46B2C-312A-44A1-AE66-3F60FBF26CE8}" name="Me"/>
    <tableColumn id="5" xr3:uid="{EAD0A727-7D56-460E-8078-2D0A8474BC75}" name="Average" dataDxfId="4">
      <calculatedColumnFormula>IFERROR(AVERAGE(DifficultyTable[[#This Row],[Sunburned Albino]]:DifficultyTable[[#This Row],[Me]]),45)</calculatedColumnFormula>
    </tableColumn>
    <tableColumn id="6" xr3:uid="{C3309A07-D0DC-4F03-919D-64A292EE6DA1}" name="Max" dataDxfId="3">
      <calculatedColumnFormula>MAX(DifficultyTable[[#This Row],[Sunburned Albino]]:DifficultyTable[[#This Row],[Me]])</calculatedColumnFormula>
    </tableColumn>
    <tableColumn id="7" xr3:uid="{108C182E-0164-479A-AB00-00B06A5A090F}" name="Min" dataDxfId="2">
      <calculatedColumnFormula>MIN(DifficultyTable[[#This Row],[Sunburned Albino]]:DifficultyTable[[#This Row],[Me]])</calculatedColumnFormula>
    </tableColumn>
    <tableColumn id="8" xr3:uid="{B99D7009-7950-4641-ABA1-4409D2241635}" name="Standard Deviation" dataDxfId="1">
      <calculatedColumnFormula>IFERROR(_xlfn.STDEV.P(DifficultyTable[[#This Row],[Sunburned Albino]]:DifficultyTable[[#This Row],[Me]]),45)</calculatedColumnFormula>
    </tableColumn>
    <tableColumn id="9" xr3:uid="{D9DB72CF-4C98-433F-B1B5-602F2059273E}" name="Act_Rank" dataDxfId="0">
      <calculatedColumnFormula>COUNTIFS(DifficultyTable[Average],"&lt;="&amp;DifficultyTable[[#This Row],[Average]],DifficultyTable[Act],DifficultyTable[[#This Row],[Act]])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F4A926-DADA-40F5-96EF-2075170B0722}" name="Table3" displayName="Table3" ref="A1:B6" totalsRowShown="0">
  <autoFilter ref="A1:B6" xr:uid="{EDF4A926-DADA-40F5-96EF-2075170B0722}"/>
  <tableColumns count="2">
    <tableColumn id="1" xr3:uid="{3BE944DC-F2FF-4FA9-A9FD-149F6054E9F6}" name="Video"/>
    <tableColumn id="2" xr3:uid="{C83AFD17-C99A-4C62-B8E9-A0F3BA3B2B1F}" name="Creato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00rXa-VboV8?si=5QJqIaSBqcRvJnoa&amp;t=5175" TargetMode="External"/><Relationship Id="rId13" Type="http://schemas.openxmlformats.org/officeDocument/2006/relationships/hyperlink" Target="https://youtu.be/00rXa-VboV8?si=5QJqIaSBqcRvJnoa&amp;t=6416" TargetMode="External"/><Relationship Id="rId18" Type="http://schemas.openxmlformats.org/officeDocument/2006/relationships/hyperlink" Target="https://youtu.be/00rXa-VboV8?si=dRTc5nt0FjzaxIXg&amp;t=7386" TargetMode="External"/><Relationship Id="rId3" Type="http://schemas.openxmlformats.org/officeDocument/2006/relationships/hyperlink" Target="https://youtu.be/00rXa-VboV8?si=5QJqIaSBqcRvJnoa&amp;t=3752" TargetMode="External"/><Relationship Id="rId21" Type="http://schemas.openxmlformats.org/officeDocument/2006/relationships/table" Target="../tables/table1.xml"/><Relationship Id="rId7" Type="http://schemas.openxmlformats.org/officeDocument/2006/relationships/hyperlink" Target="https://youtu.be/00rXa-VboV8?si=5QJqIaSBqcRvJnoa&amp;t=5010" TargetMode="External"/><Relationship Id="rId12" Type="http://schemas.openxmlformats.org/officeDocument/2006/relationships/hyperlink" Target="https://youtu.be/00rXa-VboV8?si=5QJqIaSBqcRvJnoa&amp;t=6325" TargetMode="External"/><Relationship Id="rId17" Type="http://schemas.openxmlformats.org/officeDocument/2006/relationships/hyperlink" Target="https://youtu.be/00rXa-VboV8?si=dRTc5nt0FjzaxIXg&amp;t=7240" TargetMode="External"/><Relationship Id="rId2" Type="http://schemas.openxmlformats.org/officeDocument/2006/relationships/hyperlink" Target="https://youtu.be/00rXa-VboV8?si=5QJqIaSBqcRvJnoa&amp;t=2689" TargetMode="External"/><Relationship Id="rId16" Type="http://schemas.openxmlformats.org/officeDocument/2006/relationships/hyperlink" Target="https://youtu.be/00rXa-VboV8?si=dRTc5nt0FjzaxIXg&amp;t=7173" TargetMode="External"/><Relationship Id="rId20" Type="http://schemas.openxmlformats.org/officeDocument/2006/relationships/hyperlink" Target="https://youtu.be/00rXa-VboV8?si=dRTc5nt0FjzaxIXg&amp;t=7930" TargetMode="External"/><Relationship Id="rId1" Type="http://schemas.openxmlformats.org/officeDocument/2006/relationships/hyperlink" Target="https://youtu.be/00rXa-VboV8?si=P5CsSXCPbCzA9GCD&amp;t=186" TargetMode="External"/><Relationship Id="rId6" Type="http://schemas.openxmlformats.org/officeDocument/2006/relationships/hyperlink" Target="https://youtu.be/00rXa-VboV8?si=5QJqIaSBqcRvJnoa&amp;t=4874" TargetMode="External"/><Relationship Id="rId11" Type="http://schemas.openxmlformats.org/officeDocument/2006/relationships/hyperlink" Target="https://youtu.be/00rXa-VboV8?si=5QJqIaSBqcRvJnoa&amp;t=6180" TargetMode="External"/><Relationship Id="rId5" Type="http://schemas.openxmlformats.org/officeDocument/2006/relationships/hyperlink" Target="https://youtu.be/00rXa-VboV8?si=5QJqIaSBqcRvJnoa&amp;t=4673" TargetMode="External"/><Relationship Id="rId15" Type="http://schemas.openxmlformats.org/officeDocument/2006/relationships/hyperlink" Target="https://youtu.be/00rXa-VboV8?si=dRTc5nt0FjzaxIXg&amp;t=7055" TargetMode="External"/><Relationship Id="rId10" Type="http://schemas.openxmlformats.org/officeDocument/2006/relationships/hyperlink" Target="https://youtu.be/00rXa-VboV8?si=5QJqIaSBqcRvJnoa&amp;t=6000" TargetMode="External"/><Relationship Id="rId19" Type="http://schemas.openxmlformats.org/officeDocument/2006/relationships/hyperlink" Target="https://youtu.be/00rXa-VboV8?si=dRTc5nt0FjzaxIXg&amp;t=7797" TargetMode="External"/><Relationship Id="rId4" Type="http://schemas.openxmlformats.org/officeDocument/2006/relationships/hyperlink" Target="https://youtu.be/00rXa-VboV8?si=5QJqIaSBqcRvJnoa&amp;t=4210" TargetMode="External"/><Relationship Id="rId9" Type="http://schemas.openxmlformats.org/officeDocument/2006/relationships/hyperlink" Target="https://youtu.be/00rXa-VboV8?si=5QJqIaSBqcRvJnoa&amp;t=5828" TargetMode="External"/><Relationship Id="rId14" Type="http://schemas.openxmlformats.org/officeDocument/2006/relationships/hyperlink" Target="https://youtu.be/00rXa-VboV8?si=dRTc5nt0FjzaxIXg&amp;t=6558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8ABB3-6DD8-4C86-BDB3-AE50CA3D88E6}">
  <dimension ref="A1:B5"/>
  <sheetViews>
    <sheetView workbookViewId="0">
      <selection activeCell="E4" sqref="E4"/>
    </sheetView>
  </sheetViews>
  <sheetFormatPr defaultRowHeight="14.4" x14ac:dyDescent="0.3"/>
  <cols>
    <col min="1" max="1" width="12.5546875" bestFit="1" customWidth="1"/>
    <col min="2" max="2" width="17.6640625" bestFit="1" customWidth="1"/>
  </cols>
  <sheetData>
    <row r="1" spans="1:2" x14ac:dyDescent="0.3">
      <c r="A1" s="1" t="s">
        <v>60</v>
      </c>
      <c r="B1" t="s">
        <v>59</v>
      </c>
    </row>
    <row r="2" spans="1:2" x14ac:dyDescent="0.3">
      <c r="A2" s="2">
        <v>1</v>
      </c>
      <c r="B2" s="3">
        <v>23.630000000000003</v>
      </c>
    </row>
    <row r="3" spans="1:2" x14ac:dyDescent="0.3">
      <c r="A3" s="2">
        <v>2</v>
      </c>
      <c r="B3" s="3">
        <v>20.862222222222218</v>
      </c>
    </row>
    <row r="4" spans="1:2" x14ac:dyDescent="0.3">
      <c r="A4" s="2">
        <v>3</v>
      </c>
      <c r="B4" s="3">
        <v>20.66</v>
      </c>
    </row>
    <row r="5" spans="1:2" x14ac:dyDescent="0.3">
      <c r="A5" s="2" t="s">
        <v>61</v>
      </c>
      <c r="B5">
        <v>21.717407407407407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6"/>
  <sheetViews>
    <sheetView tabSelected="1" workbookViewId="0">
      <pane xSplit="2" ySplit="1" topLeftCell="C3" activePane="bottomRight" state="frozen"/>
      <selection pane="topRight" activeCell="C1" sqref="C1"/>
      <selection pane="bottomLeft" activeCell="A2" sqref="A2"/>
      <selection pane="bottomRight" activeCell="D3" sqref="D3:D46"/>
    </sheetView>
  </sheetViews>
  <sheetFormatPr defaultRowHeight="14.4" x14ac:dyDescent="0.3"/>
  <cols>
    <col min="2" max="2" width="25.6640625" customWidth="1"/>
    <col min="4" max="4" width="8.88671875" customWidth="1"/>
    <col min="8" max="8" width="10" customWidth="1"/>
    <col min="11" max="11" width="10.21875" customWidth="1"/>
    <col min="12" max="12" width="14.88671875" customWidth="1"/>
    <col min="16" max="16" width="19.5546875" customWidth="1"/>
    <col min="17" max="17" width="13.5546875" customWidth="1"/>
  </cols>
  <sheetData>
    <row r="1" spans="1:18" x14ac:dyDescent="0.3">
      <c r="A1" t="s">
        <v>0</v>
      </c>
      <c r="B1" t="s">
        <v>3</v>
      </c>
      <c r="C1" t="s">
        <v>58</v>
      </c>
      <c r="D1" t="s">
        <v>72</v>
      </c>
      <c r="E1" t="s">
        <v>65</v>
      </c>
      <c r="F1" t="s">
        <v>2</v>
      </c>
      <c r="G1" t="s">
        <v>57</v>
      </c>
      <c r="H1" t="s">
        <v>63</v>
      </c>
      <c r="I1" t="s">
        <v>46</v>
      </c>
      <c r="J1" t="s">
        <v>69</v>
      </c>
      <c r="K1" t="s">
        <v>50</v>
      </c>
      <c r="L1" t="s">
        <v>71</v>
      </c>
      <c r="M1" t="s">
        <v>49</v>
      </c>
      <c r="N1" t="s">
        <v>51</v>
      </c>
      <c r="O1" t="s">
        <v>70</v>
      </c>
      <c r="P1" t="s">
        <v>52</v>
      </c>
      <c r="Q1" t="s">
        <v>62</v>
      </c>
      <c r="R1" t="s">
        <v>68</v>
      </c>
    </row>
    <row r="2" spans="1:18" x14ac:dyDescent="0.3">
      <c r="A2">
        <f t="shared" ref="A2:A46" si="0">ROW()-1</f>
        <v>1</v>
      </c>
      <c r="B2" t="s">
        <v>17</v>
      </c>
      <c r="C2">
        <v>1</v>
      </c>
      <c r="D2" t="str">
        <f>"./Boss_Images/"&amp;SUBSTITUTE(QualityTable[[#This Row],[Boss]]," ","_")&amp;".png"</f>
        <v>./Boss_Images/Bell_Beast.png</v>
      </c>
      <c r="E2" t="s">
        <v>74</v>
      </c>
      <c r="F2">
        <v>29</v>
      </c>
      <c r="G2">
        <v>30</v>
      </c>
      <c r="H2">
        <v>22</v>
      </c>
      <c r="I2">
        <v>28</v>
      </c>
      <c r="J2">
        <v>27</v>
      </c>
      <c r="K2">
        <f>AVERAGE(QualityTable[[#This Row],[Raime]]:QualityTable[[#This Row],[Me]])</f>
        <v>27.2</v>
      </c>
      <c r="L2">
        <f>ROUND(QualityTable[[#This Row],[Me]]-AVERAGE(QualityTable[[#This Row],[Raime]]:QualityTable[[#This Row],[Ratheil]]),1)</f>
        <v>-0.3</v>
      </c>
      <c r="M2">
        <f>MAX(QualityTable[[#This Row],[Raime]]:QualityTable[[#This Row],[Me]])</f>
        <v>30</v>
      </c>
      <c r="N2">
        <f>MIN(QualityTable[[#This Row],[Raime]]:QualityTable[[#This Row],[Me]])</f>
        <v>22</v>
      </c>
      <c r="O2">
        <f>QualityTable[[#This Row],[Max]]-QualityTable[[#This Row],[Min]]</f>
        <v>8</v>
      </c>
      <c r="P2">
        <f>ROUND(_xlfn.STDEV.P(QualityTable[[#This Row],[Raime]]:QualityTable[[#This Row],[Me]]),2)</f>
        <v>2.79</v>
      </c>
      <c r="Q2" s="4">
        <f>COUNTIFS(QualityTable[Average],"&lt;="&amp;QualityTable[[#This Row],[Average]],QualityTable[Act],QualityTable[[#This Row],[Act]])</f>
        <v>9</v>
      </c>
      <c r="R2" s="4">
        <f>_xlfn.MAXIFS(QualityTable[Act_Rank],QualityTable[Act],QualityTable[[#This Row],[Act]])-QualityTable[[#This Row],[Act_Rank]]</f>
        <v>6</v>
      </c>
    </row>
    <row r="3" spans="1:18" x14ac:dyDescent="0.3">
      <c r="A3">
        <f t="shared" si="0"/>
        <v>2</v>
      </c>
      <c r="B3" t="s">
        <v>22</v>
      </c>
      <c r="C3">
        <v>3</v>
      </c>
      <c r="D3" t="str">
        <f>"./Boss_Images/"&amp;SUBSTITUTE(QualityTable[[#This Row],[Boss]]," ","_")&amp;".png"</f>
        <v>./Boss_Images/Bell_Eater.png</v>
      </c>
      <c r="E3" s="5" t="s">
        <v>97</v>
      </c>
      <c r="F3">
        <v>24</v>
      </c>
      <c r="G3">
        <v>22</v>
      </c>
      <c r="H3">
        <v>19</v>
      </c>
      <c r="I3">
        <v>26</v>
      </c>
      <c r="J3">
        <v>22</v>
      </c>
      <c r="K3">
        <f>AVERAGE(QualityTable[[#This Row],[Raime]]:QualityTable[[#This Row],[Me]])</f>
        <v>22.6</v>
      </c>
      <c r="L3">
        <f>ROUND(QualityTable[[#This Row],[Me]]-AVERAGE(QualityTable[[#This Row],[Raime]]:QualityTable[[#This Row],[Ratheil]]),1)</f>
        <v>-0.8</v>
      </c>
      <c r="M3">
        <f>MAX(QualityTable[[#This Row],[Raime]]:QualityTable[[#This Row],[Me]])</f>
        <v>26</v>
      </c>
      <c r="N3">
        <f>MIN(QualityTable[[#This Row],[Raime]]:QualityTable[[#This Row],[Me]])</f>
        <v>19</v>
      </c>
      <c r="O3">
        <f>QualityTable[[#This Row],[Max]]-QualityTable[[#This Row],[Min]]</f>
        <v>7</v>
      </c>
      <c r="P3">
        <f>ROUND(_xlfn.STDEV.P(QualityTable[[#This Row],[Raime]]:QualityTable[[#This Row],[Me]]),2)</f>
        <v>2.33</v>
      </c>
      <c r="Q3" s="4">
        <f>COUNTIFS(QualityTable[Average],"&lt;="&amp;QualityTable[[#This Row],[Average]],QualityTable[Act],QualityTable[[#This Row],[Act]])</f>
        <v>8</v>
      </c>
      <c r="R3" s="4">
        <f>_xlfn.MAXIFS(QualityTable[Act_Rank],QualityTable[Act],QualityTable[[#This Row],[Act]])-QualityTable[[#This Row],[Act_Rank]]</f>
        <v>7</v>
      </c>
    </row>
    <row r="4" spans="1:18" x14ac:dyDescent="0.3">
      <c r="A4">
        <f t="shared" si="0"/>
        <v>3</v>
      </c>
      <c r="B4" t="s">
        <v>13</v>
      </c>
      <c r="C4">
        <v>2</v>
      </c>
      <c r="D4" t="str">
        <f>"./Boss_Images/"&amp;SUBSTITUTE(QualityTable[[#This Row],[Boss]]," ","_")&amp;".png"</f>
        <v>./Boss_Images/Broodmother.png</v>
      </c>
      <c r="E4" s="5" t="s">
        <v>96</v>
      </c>
      <c r="F4">
        <v>33</v>
      </c>
      <c r="G4">
        <v>19</v>
      </c>
      <c r="H4">
        <v>35</v>
      </c>
      <c r="I4">
        <v>37</v>
      </c>
      <c r="J4">
        <v>34</v>
      </c>
      <c r="K4">
        <f>AVERAGE(QualityTable[[#This Row],[Raime]]:QualityTable[[#This Row],[Me]])</f>
        <v>31.6</v>
      </c>
      <c r="L4">
        <f>ROUND(QualityTable[[#This Row],[Me]]-AVERAGE(QualityTable[[#This Row],[Raime]]:QualityTable[[#This Row],[Ratheil]]),1)</f>
        <v>3</v>
      </c>
      <c r="M4">
        <f>MAX(QualityTable[[#This Row],[Raime]]:QualityTable[[#This Row],[Me]])</f>
        <v>37</v>
      </c>
      <c r="N4">
        <f>MIN(QualityTable[[#This Row],[Raime]]:QualityTable[[#This Row],[Me]])</f>
        <v>19</v>
      </c>
      <c r="O4">
        <f>QualityTable[[#This Row],[Max]]-QualityTable[[#This Row],[Min]]</f>
        <v>18</v>
      </c>
      <c r="P4">
        <f>ROUND(_xlfn.STDEV.P(QualityTable[[#This Row],[Raime]]:QualityTable[[#This Row],[Me]]),2)</f>
        <v>6.44</v>
      </c>
      <c r="Q4" s="4">
        <f>COUNTIFS(QualityTable[Average],"&lt;="&amp;QualityTable[[#This Row],[Average]],QualityTable[Act],QualityTable[[#This Row],[Act]])</f>
        <v>11</v>
      </c>
      <c r="R4" s="4">
        <f>_xlfn.MAXIFS(QualityTable[Act_Rank],QualityTable[Act],QualityTable[[#This Row],[Act]])-QualityTable[[#This Row],[Act_Rank]]</f>
        <v>4</v>
      </c>
    </row>
    <row r="5" spans="1:18" x14ac:dyDescent="0.3">
      <c r="A5">
        <f t="shared" si="0"/>
        <v>4</v>
      </c>
      <c r="B5" t="s">
        <v>31</v>
      </c>
      <c r="C5">
        <v>3</v>
      </c>
      <c r="D5" t="str">
        <f>"./Boss_Images/"&amp;SUBSTITUTE(QualityTable[[#This Row],[Boss]]," ","_")&amp;".png"</f>
        <v>./Boss_Images/Clover_Dancers.png</v>
      </c>
      <c r="E5" s="5" t="s">
        <v>106</v>
      </c>
      <c r="F5">
        <v>15</v>
      </c>
      <c r="G5">
        <v>12</v>
      </c>
      <c r="H5">
        <v>4</v>
      </c>
      <c r="I5">
        <v>22</v>
      </c>
      <c r="J5">
        <v>14</v>
      </c>
      <c r="K5">
        <f>AVERAGE(QualityTable[[#This Row],[Raime]]:QualityTable[[#This Row],[Me]])</f>
        <v>13.4</v>
      </c>
      <c r="L5">
        <f>ROUND(QualityTable[[#This Row],[Me]]-AVERAGE(QualityTable[[#This Row],[Raime]]:QualityTable[[#This Row],[Ratheil]]),1)</f>
        <v>0.8</v>
      </c>
      <c r="M5">
        <f>MAX(QualityTable[[#This Row],[Raime]]:QualityTable[[#This Row],[Me]])</f>
        <v>22</v>
      </c>
      <c r="N5">
        <f>MIN(QualityTable[[#This Row],[Raime]]:QualityTable[[#This Row],[Me]])</f>
        <v>4</v>
      </c>
      <c r="O5">
        <f>QualityTable[[#This Row],[Max]]-QualityTable[[#This Row],[Min]]</f>
        <v>18</v>
      </c>
      <c r="P5">
        <f>ROUND(_xlfn.STDEV.P(QualityTable[[#This Row],[Raime]]:QualityTable[[#This Row],[Me]]),2)</f>
        <v>5.78</v>
      </c>
      <c r="Q5" s="4">
        <f>COUNTIFS(QualityTable[Average],"&lt;="&amp;QualityTable[[#This Row],[Average]],QualityTable[Act],QualityTable[[#This Row],[Act]])</f>
        <v>5</v>
      </c>
      <c r="R5" s="4">
        <f>_xlfn.MAXIFS(QualityTable[Act_Rank],QualityTable[Act],QualityTable[[#This Row],[Act]])-QualityTable[[#This Row],[Act_Rank]]</f>
        <v>10</v>
      </c>
    </row>
    <row r="6" spans="1:18" x14ac:dyDescent="0.3">
      <c r="A6">
        <f t="shared" si="0"/>
        <v>5</v>
      </c>
      <c r="B6" t="s">
        <v>40</v>
      </c>
      <c r="C6">
        <v>2</v>
      </c>
      <c r="D6" t="str">
        <f>"./Boss_Images/"&amp;SUBSTITUTE(QualityTable[[#This Row],[Boss]]," ","_")&amp;".png"</f>
        <v>./Boss_Images/Cogwork_Dancers.png</v>
      </c>
      <c r="E6" t="s">
        <v>84</v>
      </c>
      <c r="F6">
        <v>5</v>
      </c>
      <c r="G6">
        <v>5</v>
      </c>
      <c r="H6">
        <v>7</v>
      </c>
      <c r="I6">
        <v>6</v>
      </c>
      <c r="J6">
        <v>7</v>
      </c>
      <c r="K6">
        <f>AVERAGE(QualityTable[[#This Row],[Raime]]:QualityTable[[#This Row],[Me]])</f>
        <v>6</v>
      </c>
      <c r="L6">
        <f>ROUND(QualityTable[[#This Row],[Me]]-AVERAGE(QualityTable[[#This Row],[Raime]]:QualityTable[[#This Row],[Ratheil]]),1)</f>
        <v>1.3</v>
      </c>
      <c r="M6">
        <f>MAX(QualityTable[[#This Row],[Raime]]:QualityTable[[#This Row],[Me]])</f>
        <v>7</v>
      </c>
      <c r="N6">
        <f>MIN(QualityTable[[#This Row],[Raime]]:QualityTable[[#This Row],[Me]])</f>
        <v>5</v>
      </c>
      <c r="O6">
        <f>QualityTable[[#This Row],[Max]]-QualityTable[[#This Row],[Min]]</f>
        <v>2</v>
      </c>
      <c r="P6">
        <f>ROUND(_xlfn.STDEV.P(QualityTable[[#This Row],[Raime]]:QualityTable[[#This Row],[Me]]),2)</f>
        <v>0.89</v>
      </c>
      <c r="Q6" s="4">
        <f>COUNTIFS(QualityTable[Average],"&lt;="&amp;QualityTable[[#This Row],[Average]],QualityTable[Act],QualityTable[[#This Row],[Act]])</f>
        <v>2</v>
      </c>
      <c r="R6" s="4">
        <f>_xlfn.MAXIFS(QualityTable[Act_Rank],QualityTable[Act],QualityTable[[#This Row],[Act]])-QualityTable[[#This Row],[Act_Rank]]</f>
        <v>13</v>
      </c>
    </row>
    <row r="7" spans="1:18" x14ac:dyDescent="0.3">
      <c r="A7">
        <f t="shared" si="0"/>
        <v>6</v>
      </c>
      <c r="B7" t="s">
        <v>47</v>
      </c>
      <c r="C7">
        <v>1</v>
      </c>
      <c r="D7" t="str">
        <f>"./Boss_Images/"&amp;SUBSTITUTE(QualityTable[[#This Row],[Boss]]," ","_")&amp;".png"</f>
        <v>./Boss_Images/Craggler.png</v>
      </c>
      <c r="E7" t="s">
        <v>118</v>
      </c>
      <c r="I7">
        <v>42</v>
      </c>
      <c r="K7">
        <f>AVERAGE(QualityTable[[#This Row],[Raime]]:QualityTable[[#This Row],[Me]])</f>
        <v>42</v>
      </c>
      <c r="L7">
        <f>ROUND(QualityTable[[#This Row],[Me]]-AVERAGE(QualityTable[[#This Row],[Raime]]:QualityTable[[#This Row],[Ratheil]]),1)</f>
        <v>-42</v>
      </c>
      <c r="M7">
        <f>MAX(QualityTable[[#This Row],[Raime]]:QualityTable[[#This Row],[Me]])</f>
        <v>42</v>
      </c>
      <c r="N7">
        <f>MIN(QualityTable[[#This Row],[Raime]]:QualityTable[[#This Row],[Me]])</f>
        <v>42</v>
      </c>
      <c r="O7">
        <f>QualityTable[[#This Row],[Max]]-QualityTable[[#This Row],[Min]]</f>
        <v>0</v>
      </c>
      <c r="P7">
        <f>ROUND(_xlfn.STDEV.P(QualityTable[[#This Row],[Raime]]:QualityTable[[#This Row],[Me]]),2)</f>
        <v>0</v>
      </c>
      <c r="Q7" s="4">
        <f>COUNTIFS(QualityTable[Average],"&lt;="&amp;QualityTable[[#This Row],[Average]],QualityTable[Act],QualityTable[[#This Row],[Act]])</f>
        <v>15</v>
      </c>
      <c r="R7" s="4">
        <f>_xlfn.MAXIFS(QualityTable[Act_Rank],QualityTable[Act],QualityTable[[#This Row],[Act]])-QualityTable[[#This Row],[Act_Rank]]</f>
        <v>0</v>
      </c>
    </row>
    <row r="8" spans="1:18" x14ac:dyDescent="0.3">
      <c r="A8">
        <f t="shared" si="0"/>
        <v>7</v>
      </c>
      <c r="B8" t="s">
        <v>14</v>
      </c>
      <c r="C8">
        <v>3</v>
      </c>
      <c r="D8" t="str">
        <f>"./Boss_Images/"&amp;SUBSTITUTE(QualityTable[[#This Row],[Boss]]," ","_")&amp;".png"</f>
        <v>./Boss_Images/Crawfather.png</v>
      </c>
      <c r="E8" s="5" t="s">
        <v>113</v>
      </c>
      <c r="F8">
        <v>32</v>
      </c>
      <c r="G8">
        <v>15</v>
      </c>
      <c r="H8">
        <v>27</v>
      </c>
      <c r="I8">
        <v>18</v>
      </c>
      <c r="J8">
        <v>20</v>
      </c>
      <c r="K8">
        <f>AVERAGE(QualityTable[[#This Row],[Raime]]:QualityTable[[#This Row],[Me]])</f>
        <v>22.4</v>
      </c>
      <c r="L8">
        <f>ROUND(QualityTable[[#This Row],[Me]]-AVERAGE(QualityTable[[#This Row],[Raime]]:QualityTable[[#This Row],[Ratheil]]),1)</f>
        <v>-3</v>
      </c>
      <c r="M8">
        <f>MAX(QualityTable[[#This Row],[Raime]]:QualityTable[[#This Row],[Me]])</f>
        <v>32</v>
      </c>
      <c r="N8">
        <f>MIN(QualityTable[[#This Row],[Raime]]:QualityTable[[#This Row],[Me]])</f>
        <v>15</v>
      </c>
      <c r="O8">
        <f>QualityTable[[#This Row],[Max]]-QualityTable[[#This Row],[Min]]</f>
        <v>17</v>
      </c>
      <c r="P8">
        <f>ROUND(_xlfn.STDEV.P(QualityTable[[#This Row],[Raime]]:QualityTable[[#This Row],[Me]]),2)</f>
        <v>6.22</v>
      </c>
      <c r="Q8" s="4">
        <f>COUNTIFS(QualityTable[Average],"&lt;="&amp;QualityTable[[#This Row],[Average]],QualityTable[Act],QualityTable[[#This Row],[Act]])</f>
        <v>7</v>
      </c>
      <c r="R8" s="4">
        <f>_xlfn.MAXIFS(QualityTable[Act_Rank],QualityTable[Act],QualityTable[[#This Row],[Act]])-QualityTable[[#This Row],[Act_Rank]]</f>
        <v>8</v>
      </c>
    </row>
    <row r="9" spans="1:18" x14ac:dyDescent="0.3">
      <c r="A9">
        <f t="shared" si="0"/>
        <v>8</v>
      </c>
      <c r="B9" t="s">
        <v>36</v>
      </c>
      <c r="C9">
        <v>3</v>
      </c>
      <c r="D9" t="str">
        <f>"./Boss_Images/"&amp;SUBSTITUTE(QualityTable[[#This Row],[Boss]]," ","_")&amp;".png"</f>
        <v>./Boss_Images/Crust_King_Khann.png</v>
      </c>
      <c r="E9" s="5" t="s">
        <v>102</v>
      </c>
      <c r="F9">
        <v>10</v>
      </c>
      <c r="G9">
        <v>17</v>
      </c>
      <c r="H9">
        <v>15</v>
      </c>
      <c r="I9">
        <v>20</v>
      </c>
      <c r="J9">
        <v>17</v>
      </c>
      <c r="K9">
        <f>AVERAGE(QualityTable[[#This Row],[Raime]]:QualityTable[[#This Row],[Me]])</f>
        <v>15.8</v>
      </c>
      <c r="L9">
        <f>ROUND(QualityTable[[#This Row],[Me]]-AVERAGE(QualityTable[[#This Row],[Raime]]:QualityTable[[#This Row],[Ratheil]]),1)</f>
        <v>1.5</v>
      </c>
      <c r="M9">
        <f>MAX(QualityTable[[#This Row],[Raime]]:QualityTable[[#This Row],[Me]])</f>
        <v>20</v>
      </c>
      <c r="N9">
        <f>MIN(QualityTable[[#This Row],[Raime]]:QualityTable[[#This Row],[Me]])</f>
        <v>10</v>
      </c>
      <c r="O9">
        <f>QualityTable[[#This Row],[Max]]-QualityTable[[#This Row],[Min]]</f>
        <v>10</v>
      </c>
      <c r="P9">
        <f>ROUND(_xlfn.STDEV.P(QualityTable[[#This Row],[Raime]]:QualityTable[[#This Row],[Me]]),2)</f>
        <v>3.31</v>
      </c>
      <c r="Q9" s="4">
        <f>COUNTIFS(QualityTable[Average],"&lt;="&amp;QualityTable[[#This Row],[Average]],QualityTable[Act],QualityTable[[#This Row],[Act]])</f>
        <v>6</v>
      </c>
      <c r="R9" s="4">
        <f>_xlfn.MAXIFS(QualityTable[Act_Rank],QualityTable[Act],QualityTable[[#This Row],[Act]])-QualityTable[[#This Row],[Act_Rank]]</f>
        <v>9</v>
      </c>
    </row>
    <row r="10" spans="1:18" x14ac:dyDescent="0.3">
      <c r="A10">
        <f t="shared" si="0"/>
        <v>9</v>
      </c>
      <c r="B10" t="s">
        <v>21</v>
      </c>
      <c r="C10">
        <v>2</v>
      </c>
      <c r="D10" t="str">
        <f>"./Boss_Images/"&amp;SUBSTITUTE(QualityTable[[#This Row],[Boss]]," ","_")&amp;".png"</f>
        <v>./Boss_Images/Disgraced_Chef_Luigoli.png</v>
      </c>
      <c r="E10" t="s">
        <v>91</v>
      </c>
      <c r="F10">
        <v>25</v>
      </c>
      <c r="G10">
        <v>25</v>
      </c>
      <c r="H10">
        <v>28</v>
      </c>
      <c r="I10">
        <v>36</v>
      </c>
      <c r="J10">
        <v>35</v>
      </c>
      <c r="K10">
        <f>AVERAGE(QualityTable[[#This Row],[Raime]]:QualityTable[[#This Row],[Me]])</f>
        <v>29.8</v>
      </c>
      <c r="L10">
        <f>ROUND(QualityTable[[#This Row],[Me]]-AVERAGE(QualityTable[[#This Row],[Raime]]:QualityTable[[#This Row],[Ratheil]]),1)</f>
        <v>6.5</v>
      </c>
      <c r="M10">
        <f>MAX(QualityTable[[#This Row],[Raime]]:QualityTable[[#This Row],[Me]])</f>
        <v>36</v>
      </c>
      <c r="N10">
        <f>MIN(QualityTable[[#This Row],[Raime]]:QualityTable[[#This Row],[Me]])</f>
        <v>25</v>
      </c>
      <c r="O10">
        <f>QualityTable[[#This Row],[Max]]-QualityTable[[#This Row],[Min]]</f>
        <v>11</v>
      </c>
      <c r="P10">
        <f>ROUND(_xlfn.STDEV.P(QualityTable[[#This Row],[Raime]]:QualityTable[[#This Row],[Me]]),2)</f>
        <v>4.79</v>
      </c>
      <c r="Q10" s="4">
        <f>COUNTIFS(QualityTable[Average],"&lt;="&amp;QualityTable[[#This Row],[Average]],QualityTable[Act],QualityTable[[#This Row],[Act]])</f>
        <v>10</v>
      </c>
      <c r="R10" s="4">
        <f>_xlfn.MAXIFS(QualityTable[Act_Rank],QualityTable[Act],QualityTable[[#This Row],[Act]])-QualityTable[[#This Row],[Act_Rank]]</f>
        <v>5</v>
      </c>
    </row>
    <row r="11" spans="1:18" x14ac:dyDescent="0.3">
      <c r="A11">
        <f t="shared" si="0"/>
        <v>10</v>
      </c>
      <c r="B11" t="s">
        <v>11</v>
      </c>
      <c r="C11">
        <v>2</v>
      </c>
      <c r="D11" t="str">
        <f>"./Boss_Images/"&amp;SUBSTITUTE(QualityTable[[#This Row],[Boss]]," ","_")&amp;".png"</f>
        <v>./Boss_Images/Father_of_the_Flame.png</v>
      </c>
      <c r="E11" t="s">
        <v>90</v>
      </c>
      <c r="F11">
        <v>35</v>
      </c>
      <c r="H11">
        <v>32</v>
      </c>
      <c r="I11">
        <v>41</v>
      </c>
      <c r="J11">
        <v>31</v>
      </c>
      <c r="K11">
        <f>AVERAGE(QualityTable[[#This Row],[Raime]]:QualityTable[[#This Row],[Me]])</f>
        <v>34.75</v>
      </c>
      <c r="L11">
        <f>ROUND(QualityTable[[#This Row],[Me]]-AVERAGE(QualityTable[[#This Row],[Raime]]:QualityTable[[#This Row],[Ratheil]]),1)</f>
        <v>-5</v>
      </c>
      <c r="M11">
        <f>MAX(QualityTable[[#This Row],[Raime]]:QualityTable[[#This Row],[Me]])</f>
        <v>41</v>
      </c>
      <c r="N11">
        <f>MIN(QualityTable[[#This Row],[Raime]]:QualityTable[[#This Row],[Me]])</f>
        <v>31</v>
      </c>
      <c r="O11">
        <f>QualityTable[[#This Row],[Max]]-QualityTable[[#This Row],[Min]]</f>
        <v>10</v>
      </c>
      <c r="P11">
        <f>ROUND(_xlfn.STDEV.P(QualityTable[[#This Row],[Raime]]:QualityTable[[#This Row],[Me]]),2)</f>
        <v>3.9</v>
      </c>
      <c r="Q11" s="4">
        <f>COUNTIFS(QualityTable[Average],"&lt;="&amp;QualityTable[[#This Row],[Average]],QualityTable[Act],QualityTable[[#This Row],[Act]])</f>
        <v>13</v>
      </c>
      <c r="R11" s="4">
        <f>_xlfn.MAXIFS(QualityTable[Act_Rank],QualityTable[Act],QualityTable[[#This Row],[Act]])-QualityTable[[#This Row],[Act_Rank]]</f>
        <v>2</v>
      </c>
    </row>
    <row r="12" spans="1:18" x14ac:dyDescent="0.3">
      <c r="A12">
        <f t="shared" si="0"/>
        <v>11</v>
      </c>
      <c r="B12" t="s">
        <v>44</v>
      </c>
      <c r="C12">
        <v>2</v>
      </c>
      <c r="D12" t="str">
        <f>"./Boss_Images/"&amp;SUBSTITUTE(QualityTable[[#This Row],[Boss]]," ","_")&amp;".png"</f>
        <v>./Boss_Images/First_Sinner.png</v>
      </c>
      <c r="E12" s="5" t="s">
        <v>94</v>
      </c>
      <c r="F12">
        <v>1</v>
      </c>
      <c r="G12">
        <v>3</v>
      </c>
      <c r="H12">
        <v>3</v>
      </c>
      <c r="I12">
        <v>3</v>
      </c>
      <c r="J12">
        <v>2</v>
      </c>
      <c r="K12">
        <f>AVERAGE(QualityTable[[#This Row],[Raime]]:QualityTable[[#This Row],[Me]])</f>
        <v>2.4</v>
      </c>
      <c r="L12">
        <f>ROUND(QualityTable[[#This Row],[Me]]-AVERAGE(QualityTable[[#This Row],[Raime]]:QualityTable[[#This Row],[Ratheil]]),1)</f>
        <v>-0.5</v>
      </c>
      <c r="M12">
        <f>MAX(QualityTable[[#This Row],[Raime]]:QualityTable[[#This Row],[Me]])</f>
        <v>3</v>
      </c>
      <c r="N12">
        <f>MIN(QualityTable[[#This Row],[Raime]]:QualityTable[[#This Row],[Me]])</f>
        <v>1</v>
      </c>
      <c r="O12">
        <f>QualityTable[[#This Row],[Max]]-QualityTable[[#This Row],[Min]]</f>
        <v>2</v>
      </c>
      <c r="P12">
        <f>ROUND(_xlfn.STDEV.P(QualityTable[[#This Row],[Raime]]:QualityTable[[#This Row],[Me]]),2)</f>
        <v>0.8</v>
      </c>
      <c r="Q12" s="4">
        <f>COUNTIFS(QualityTable[Average],"&lt;="&amp;QualityTable[[#This Row],[Average]],QualityTable[Act],QualityTable[[#This Row],[Act]])</f>
        <v>1</v>
      </c>
      <c r="R12" s="4">
        <f>_xlfn.MAXIFS(QualityTable[Act_Rank],QualityTable[Act],QualityTable[[#This Row],[Act]])-QualityTable[[#This Row],[Act_Rank]]</f>
        <v>14</v>
      </c>
    </row>
    <row r="13" spans="1:18" x14ac:dyDescent="0.3">
      <c r="A13">
        <f t="shared" si="0"/>
        <v>12</v>
      </c>
      <c r="B13" t="s">
        <v>18</v>
      </c>
      <c r="C13">
        <v>2</v>
      </c>
      <c r="D13" t="str">
        <f>"./Boss_Images/"&amp;SUBSTITUTE(QualityTable[[#This Row],[Boss]]," ","_")&amp;".png"</f>
        <v>./Boss_Images/Forebrothers_Signis_and_Gron.png</v>
      </c>
      <c r="E13" t="s">
        <v>89</v>
      </c>
      <c r="F13">
        <v>28</v>
      </c>
      <c r="G13">
        <v>27</v>
      </c>
      <c r="H13">
        <v>16</v>
      </c>
      <c r="I13">
        <v>24</v>
      </c>
      <c r="J13">
        <v>21</v>
      </c>
      <c r="K13">
        <f>AVERAGE(QualityTable[[#This Row],[Raime]]:QualityTable[[#This Row],[Me]])</f>
        <v>23.2</v>
      </c>
      <c r="L13">
        <f>ROUND(QualityTable[[#This Row],[Me]]-AVERAGE(QualityTable[[#This Row],[Raime]]:QualityTable[[#This Row],[Ratheil]]),1)</f>
        <v>-2.8</v>
      </c>
      <c r="M13">
        <f>MAX(QualityTable[[#This Row],[Raime]]:QualityTable[[#This Row],[Me]])</f>
        <v>28</v>
      </c>
      <c r="N13">
        <f>MIN(QualityTable[[#This Row],[Raime]]:QualityTable[[#This Row],[Me]])</f>
        <v>16</v>
      </c>
      <c r="O13">
        <f>QualityTable[[#This Row],[Max]]-QualityTable[[#This Row],[Min]]</f>
        <v>12</v>
      </c>
      <c r="P13">
        <f>ROUND(_xlfn.STDEV.P(QualityTable[[#This Row],[Raime]]:QualityTable[[#This Row],[Me]]),2)</f>
        <v>4.3499999999999996</v>
      </c>
      <c r="Q13" s="4">
        <f>COUNTIFS(QualityTable[Average],"&lt;="&amp;QualityTable[[#This Row],[Average]],QualityTable[Act],QualityTable[[#This Row],[Act]])</f>
        <v>8</v>
      </c>
      <c r="R13" s="4">
        <f>_xlfn.MAXIFS(QualityTable[Act_Rank],QualityTable[Act],QualityTable[[#This Row],[Act]])-QualityTable[[#This Row],[Act_Rank]]</f>
        <v>7</v>
      </c>
    </row>
    <row r="14" spans="1:18" x14ac:dyDescent="0.3">
      <c r="A14">
        <f t="shared" si="0"/>
        <v>13</v>
      </c>
      <c r="B14" t="s">
        <v>29</v>
      </c>
      <c r="C14">
        <v>1</v>
      </c>
      <c r="D14" t="str">
        <f>"./Boss_Images/"&amp;SUBSTITUTE(QualityTable[[#This Row],[Boss]]," ","_")&amp;".png"</f>
        <v>./Boss_Images/Fourth_Chorus.png</v>
      </c>
      <c r="E14" t="s">
        <v>76</v>
      </c>
      <c r="F14">
        <v>17</v>
      </c>
      <c r="G14">
        <v>18</v>
      </c>
      <c r="H14">
        <v>24</v>
      </c>
      <c r="I14">
        <v>11</v>
      </c>
      <c r="J14">
        <v>26</v>
      </c>
      <c r="K14">
        <f>AVERAGE(QualityTable[[#This Row],[Raime]]:QualityTable[[#This Row],[Me]])</f>
        <v>19.2</v>
      </c>
      <c r="L14">
        <f>ROUND(QualityTable[[#This Row],[Me]]-AVERAGE(QualityTable[[#This Row],[Raime]]:QualityTable[[#This Row],[Ratheil]]),1)</f>
        <v>8.5</v>
      </c>
      <c r="M14">
        <f>MAX(QualityTable[[#This Row],[Raime]]:QualityTable[[#This Row],[Me]])</f>
        <v>26</v>
      </c>
      <c r="N14">
        <f>MIN(QualityTable[[#This Row],[Raime]]:QualityTable[[#This Row],[Me]])</f>
        <v>11</v>
      </c>
      <c r="O14">
        <f>QualityTable[[#This Row],[Max]]-QualityTable[[#This Row],[Min]]</f>
        <v>15</v>
      </c>
      <c r="P14">
        <f>ROUND(_xlfn.STDEV.P(QualityTable[[#This Row],[Raime]]:QualityTable[[#This Row],[Me]]),2)</f>
        <v>5.34</v>
      </c>
      <c r="Q14" s="4">
        <f>COUNTIFS(QualityTable[Average],"&lt;="&amp;QualityTable[[#This Row],[Average]],QualityTable[Act],QualityTable[[#This Row],[Act]])</f>
        <v>5</v>
      </c>
      <c r="R14" s="4">
        <f>_xlfn.MAXIFS(QualityTable[Act_Rank],QualityTable[Act],QualityTable[[#This Row],[Act]])-QualityTable[[#This Row],[Act_Rank]]</f>
        <v>10</v>
      </c>
    </row>
    <row r="15" spans="1:18" x14ac:dyDescent="0.3">
      <c r="A15">
        <f t="shared" si="0"/>
        <v>14</v>
      </c>
      <c r="B15" t="s">
        <v>54</v>
      </c>
      <c r="C15">
        <v>2</v>
      </c>
      <c r="D15" t="str">
        <f>"./Boss_Images/"&amp;SUBSTITUTE(QualityTable[[#This Row],[Boss]]," ","_")&amp;".png"</f>
        <v>./Boss_Images/Grand_Mother_Silk.png</v>
      </c>
      <c r="E15" s="5" t="s">
        <v>87</v>
      </c>
      <c r="F15">
        <v>8</v>
      </c>
      <c r="G15">
        <v>4</v>
      </c>
      <c r="H15">
        <v>14</v>
      </c>
      <c r="I15">
        <v>7</v>
      </c>
      <c r="J15">
        <v>8</v>
      </c>
      <c r="K15">
        <f>AVERAGE(QualityTable[[#This Row],[Raime]]:QualityTable[[#This Row],[Me]])</f>
        <v>8.1999999999999993</v>
      </c>
      <c r="L15">
        <f>ROUND(QualityTable[[#This Row],[Me]]-AVERAGE(QualityTable[[#This Row],[Raime]]:QualityTable[[#This Row],[Ratheil]]),1)</f>
        <v>-0.3</v>
      </c>
      <c r="M15">
        <f>MAX(QualityTable[[#This Row],[Raime]]:QualityTable[[#This Row],[Me]])</f>
        <v>14</v>
      </c>
      <c r="N15">
        <f>MIN(QualityTable[[#This Row],[Raime]]:QualityTable[[#This Row],[Me]])</f>
        <v>4</v>
      </c>
      <c r="O15">
        <f>QualityTable[[#This Row],[Max]]-QualityTable[[#This Row],[Min]]</f>
        <v>10</v>
      </c>
      <c r="P15">
        <f>ROUND(_xlfn.STDEV.P(QualityTable[[#This Row],[Raime]]:QualityTable[[#This Row],[Me]]),2)</f>
        <v>3.25</v>
      </c>
      <c r="Q15" s="4">
        <f>COUNTIFS(QualityTable[Average],"&lt;="&amp;QualityTable[[#This Row],[Average]],QualityTable[Act],QualityTable[[#This Row],[Act]])</f>
        <v>4</v>
      </c>
      <c r="R15" s="4">
        <f>_xlfn.MAXIFS(QualityTable[Act_Rank],QualityTable[Act],QualityTable[[#This Row],[Act]])-QualityTable[[#This Row],[Act_Rank]]</f>
        <v>11</v>
      </c>
    </row>
    <row r="16" spans="1:18" x14ac:dyDescent="0.3">
      <c r="A16">
        <f t="shared" si="0"/>
        <v>15</v>
      </c>
      <c r="B16" t="s">
        <v>24</v>
      </c>
      <c r="C16">
        <v>1</v>
      </c>
      <c r="D16" t="str">
        <f>"./Boss_Images/"&amp;SUBSTITUTE(QualityTable[[#This Row],[Boss]]," ","_")&amp;".png"</f>
        <v>./Boss_Images/Great_Conchflies.png</v>
      </c>
      <c r="E16" t="s">
        <v>82</v>
      </c>
      <c r="F16">
        <v>22</v>
      </c>
      <c r="G16">
        <v>33</v>
      </c>
      <c r="H16">
        <v>21</v>
      </c>
      <c r="I16">
        <v>35</v>
      </c>
      <c r="J16">
        <v>28</v>
      </c>
      <c r="K16">
        <f>AVERAGE(QualityTable[[#This Row],[Raime]]:QualityTable[[#This Row],[Me]])</f>
        <v>27.8</v>
      </c>
      <c r="L16">
        <f>ROUND(QualityTable[[#This Row],[Me]]-AVERAGE(QualityTable[[#This Row],[Raime]]:QualityTable[[#This Row],[Ratheil]]),1)</f>
        <v>0.3</v>
      </c>
      <c r="M16">
        <f>MAX(QualityTable[[#This Row],[Raime]]:QualityTable[[#This Row],[Me]])</f>
        <v>35</v>
      </c>
      <c r="N16">
        <f>MIN(QualityTable[[#This Row],[Raime]]:QualityTable[[#This Row],[Me]])</f>
        <v>21</v>
      </c>
      <c r="O16">
        <f>QualityTable[[#This Row],[Max]]-QualityTable[[#This Row],[Min]]</f>
        <v>14</v>
      </c>
      <c r="P16">
        <f>ROUND(_xlfn.STDEV.P(QualityTable[[#This Row],[Raime]]:QualityTable[[#This Row],[Me]]),2)</f>
        <v>5.64</v>
      </c>
      <c r="Q16" s="4">
        <f>COUNTIFS(QualityTable[Average],"&lt;="&amp;QualityTable[[#This Row],[Average]],QualityTable[Act],QualityTable[[#This Row],[Act]])</f>
        <v>10</v>
      </c>
      <c r="R16" s="4">
        <f>_xlfn.MAXIFS(QualityTable[Act_Rank],QualityTable[Act],QualityTable[[#This Row],[Act]])-QualityTable[[#This Row],[Act_Rank]]</f>
        <v>5</v>
      </c>
    </row>
    <row r="17" spans="1:18" x14ac:dyDescent="0.3">
      <c r="A17">
        <f t="shared" si="0"/>
        <v>16</v>
      </c>
      <c r="B17" t="s">
        <v>9</v>
      </c>
      <c r="C17">
        <v>2</v>
      </c>
      <c r="D17" t="str">
        <f>"./Boss_Images/"&amp;SUBSTITUTE(QualityTable[[#This Row],[Boss]]," ","_")&amp;".png"</f>
        <v>./Boss_Images/Groal_the_Great.png</v>
      </c>
      <c r="E17" t="s">
        <v>93</v>
      </c>
      <c r="F17">
        <v>37</v>
      </c>
      <c r="G17">
        <v>26</v>
      </c>
      <c r="H17">
        <v>40</v>
      </c>
      <c r="I17">
        <v>39</v>
      </c>
      <c r="J17">
        <v>40</v>
      </c>
      <c r="K17">
        <f>AVERAGE(QualityTable[[#This Row],[Raime]]:QualityTable[[#This Row],[Me]])</f>
        <v>36.4</v>
      </c>
      <c r="L17">
        <f>ROUND(QualityTable[[#This Row],[Me]]-AVERAGE(QualityTable[[#This Row],[Raime]]:QualityTable[[#This Row],[Ratheil]]),1)</f>
        <v>4.5</v>
      </c>
      <c r="M17">
        <f>MAX(QualityTable[[#This Row],[Raime]]:QualityTable[[#This Row],[Me]])</f>
        <v>40</v>
      </c>
      <c r="N17">
        <f>MIN(QualityTable[[#This Row],[Raime]]:QualityTable[[#This Row],[Me]])</f>
        <v>26</v>
      </c>
      <c r="O17">
        <f>QualityTable[[#This Row],[Max]]-QualityTable[[#This Row],[Min]]</f>
        <v>14</v>
      </c>
      <c r="P17">
        <f>ROUND(_xlfn.STDEV.P(QualityTable[[#This Row],[Raime]]:QualityTable[[#This Row],[Me]]),2)</f>
        <v>5.31</v>
      </c>
      <c r="Q17" s="4">
        <f>COUNTIFS(QualityTable[Average],"&lt;="&amp;QualityTable[[#This Row],[Average]],QualityTable[Act],QualityTable[[#This Row],[Act]])</f>
        <v>14</v>
      </c>
      <c r="R17" s="4">
        <f>_xlfn.MAXIFS(QualityTable[Act_Rank],QualityTable[Act],QualityTable[[#This Row],[Act]])-QualityTable[[#This Row],[Act_Rank]]</f>
        <v>1</v>
      </c>
    </row>
    <row r="18" spans="1:18" x14ac:dyDescent="0.3">
      <c r="A18">
        <f t="shared" si="0"/>
        <v>17</v>
      </c>
      <c r="B18" t="s">
        <v>7</v>
      </c>
      <c r="C18">
        <v>3</v>
      </c>
      <c r="D18" t="str">
        <f>"./Boss_Images/"&amp;SUBSTITUTE(QualityTable[[#This Row],[Boss]]," ","_")&amp;".png"</f>
        <v>./Boss_Images/Gurr_the_Outcast.png</v>
      </c>
      <c r="E18" s="5" t="s">
        <v>103</v>
      </c>
      <c r="F18">
        <v>39</v>
      </c>
      <c r="G18">
        <v>28</v>
      </c>
      <c r="H18">
        <v>33</v>
      </c>
      <c r="I18">
        <v>25</v>
      </c>
      <c r="J18">
        <v>37</v>
      </c>
      <c r="K18">
        <f>AVERAGE(QualityTable[[#This Row],[Raime]]:QualityTable[[#This Row],[Me]])</f>
        <v>32.4</v>
      </c>
      <c r="L18">
        <f>ROUND(QualityTable[[#This Row],[Me]]-AVERAGE(QualityTable[[#This Row],[Raime]]:QualityTable[[#This Row],[Ratheil]]),1)</f>
        <v>5.8</v>
      </c>
      <c r="M18">
        <f>MAX(QualityTable[[#This Row],[Raime]]:QualityTable[[#This Row],[Me]])</f>
        <v>39</v>
      </c>
      <c r="N18">
        <f>MIN(QualityTable[[#This Row],[Raime]]:QualityTable[[#This Row],[Me]])</f>
        <v>25</v>
      </c>
      <c r="O18">
        <f>QualityTable[[#This Row],[Max]]-QualityTable[[#This Row],[Min]]</f>
        <v>14</v>
      </c>
      <c r="P18">
        <f>ROUND(_xlfn.STDEV.P(QualityTable[[#This Row],[Raime]]:QualityTable[[#This Row],[Me]]),2)</f>
        <v>5.28</v>
      </c>
      <c r="Q18" s="4">
        <f>COUNTIFS(QualityTable[Average],"&lt;="&amp;QualityTable[[#This Row],[Average]],QualityTable[Act],QualityTable[[#This Row],[Act]])</f>
        <v>13</v>
      </c>
      <c r="R18" s="4">
        <f>_xlfn.MAXIFS(QualityTable[Act_Rank],QualityTable[Act],QualityTable[[#This Row],[Act]])-QualityTable[[#This Row],[Act_Rank]]</f>
        <v>2</v>
      </c>
    </row>
    <row r="19" spans="1:18" x14ac:dyDescent="0.3">
      <c r="A19">
        <f t="shared" si="0"/>
        <v>18</v>
      </c>
      <c r="B19" t="s">
        <v>26</v>
      </c>
      <c r="C19">
        <v>1</v>
      </c>
      <c r="D19" t="str">
        <f>"./Boss_Images/"&amp;SUBSTITUTE(QualityTable[[#This Row],[Boss]]," ","_")&amp;".png"</f>
        <v>./Boss_Images/Lace_1.png</v>
      </c>
      <c r="E19" s="5" t="s">
        <v>75</v>
      </c>
      <c r="F19">
        <v>20</v>
      </c>
      <c r="G19">
        <v>16</v>
      </c>
      <c r="H19">
        <v>13</v>
      </c>
      <c r="I19">
        <v>14</v>
      </c>
      <c r="J19">
        <v>16</v>
      </c>
      <c r="K19">
        <f>AVERAGE(QualityTable[[#This Row],[Raime]]:QualityTable[[#This Row],[Me]])</f>
        <v>15.8</v>
      </c>
      <c r="L19">
        <f>ROUND(QualityTable[[#This Row],[Me]]-AVERAGE(QualityTable[[#This Row],[Raime]]:QualityTable[[#This Row],[Ratheil]]),1)</f>
        <v>0.3</v>
      </c>
      <c r="M19">
        <f>MAX(QualityTable[[#This Row],[Raime]]:QualityTable[[#This Row],[Me]])</f>
        <v>20</v>
      </c>
      <c r="N19">
        <f>MIN(QualityTable[[#This Row],[Raime]]:QualityTable[[#This Row],[Me]])</f>
        <v>13</v>
      </c>
      <c r="O19">
        <f>QualityTable[[#This Row],[Max]]-QualityTable[[#This Row],[Min]]</f>
        <v>7</v>
      </c>
      <c r="P19">
        <f>ROUND(_xlfn.STDEV.P(QualityTable[[#This Row],[Raime]]:QualityTable[[#This Row],[Me]]),2)</f>
        <v>2.4</v>
      </c>
      <c r="Q19" s="4">
        <f>COUNTIFS(QualityTable[Average],"&lt;="&amp;QualityTable[[#This Row],[Average]],QualityTable[Act],QualityTable[[#This Row],[Act]])</f>
        <v>4</v>
      </c>
      <c r="R19" s="4">
        <f>_xlfn.MAXIFS(QualityTable[Act_Rank],QualityTable[Act],QualityTable[[#This Row],[Act]])-QualityTable[[#This Row],[Act_Rank]]</f>
        <v>11</v>
      </c>
    </row>
    <row r="20" spans="1:18" x14ac:dyDescent="0.3">
      <c r="A20">
        <f t="shared" si="0"/>
        <v>19</v>
      </c>
      <c r="B20" t="s">
        <v>32</v>
      </c>
      <c r="C20">
        <v>2</v>
      </c>
      <c r="D20" t="str">
        <f>"./Boss_Images/"&amp;SUBSTITUTE(QualityTable[[#This Row],[Boss]]," ","_")&amp;".png"</f>
        <v>./Boss_Images/Lace_2.png</v>
      </c>
      <c r="E20" t="s">
        <v>85</v>
      </c>
      <c r="F20">
        <v>14</v>
      </c>
      <c r="G20">
        <v>8</v>
      </c>
      <c r="H20">
        <v>5</v>
      </c>
      <c r="I20">
        <v>8</v>
      </c>
      <c r="J20">
        <v>5</v>
      </c>
      <c r="K20">
        <f>AVERAGE(QualityTable[[#This Row],[Raime]]:QualityTable[[#This Row],[Me]])</f>
        <v>8</v>
      </c>
      <c r="L20">
        <f>ROUND(QualityTable[[#This Row],[Me]]-AVERAGE(QualityTable[[#This Row],[Raime]]:QualityTable[[#This Row],[Ratheil]]),1)</f>
        <v>-3.8</v>
      </c>
      <c r="M20">
        <f>MAX(QualityTable[[#This Row],[Raime]]:QualityTable[[#This Row],[Me]])</f>
        <v>14</v>
      </c>
      <c r="N20">
        <f>MIN(QualityTable[[#This Row],[Raime]]:QualityTable[[#This Row],[Me]])</f>
        <v>5</v>
      </c>
      <c r="O20">
        <f>QualityTable[[#This Row],[Max]]-QualityTable[[#This Row],[Min]]</f>
        <v>9</v>
      </c>
      <c r="P20">
        <f>ROUND(_xlfn.STDEV.P(QualityTable[[#This Row],[Raime]]:QualityTable[[#This Row],[Me]]),2)</f>
        <v>3.29</v>
      </c>
      <c r="Q20" s="4">
        <f>COUNTIFS(QualityTable[Average],"&lt;="&amp;QualityTable[[#This Row],[Average]],QualityTable[Act],QualityTable[[#This Row],[Act]])</f>
        <v>3</v>
      </c>
      <c r="R20" s="4">
        <f>_xlfn.MAXIFS(QualityTable[Act_Rank],QualityTable[Act],QualityTable[[#This Row],[Act]])-QualityTable[[#This Row],[Act_Rank]]</f>
        <v>12</v>
      </c>
    </row>
    <row r="21" spans="1:18" x14ac:dyDescent="0.3">
      <c r="A21">
        <f t="shared" si="0"/>
        <v>20</v>
      </c>
      <c r="B21" t="s">
        <v>42</v>
      </c>
      <c r="C21">
        <v>1</v>
      </c>
      <c r="D21" t="str">
        <f>"./Boss_Images/"&amp;SUBSTITUTE(QualityTable[[#This Row],[Boss]]," ","_")&amp;".png"</f>
        <v>./Boss_Images/Last_Judge.png</v>
      </c>
      <c r="E21" t="s">
        <v>83</v>
      </c>
      <c r="F21">
        <v>3</v>
      </c>
      <c r="G21">
        <v>9</v>
      </c>
      <c r="H21">
        <v>17</v>
      </c>
      <c r="I21">
        <v>4</v>
      </c>
      <c r="J21">
        <v>4</v>
      </c>
      <c r="K21">
        <f>AVERAGE(QualityTable[[#This Row],[Raime]]:QualityTable[[#This Row],[Me]])</f>
        <v>7.4</v>
      </c>
      <c r="L21">
        <f>ROUND(QualityTable[[#This Row],[Me]]-AVERAGE(QualityTable[[#This Row],[Raime]]:QualityTable[[#This Row],[Ratheil]]),1)</f>
        <v>-4.3</v>
      </c>
      <c r="M21">
        <f>MAX(QualityTable[[#This Row],[Raime]]:QualityTable[[#This Row],[Me]])</f>
        <v>17</v>
      </c>
      <c r="N21">
        <f>MIN(QualityTable[[#This Row],[Raime]]:QualityTable[[#This Row],[Me]])</f>
        <v>3</v>
      </c>
      <c r="O21">
        <f>QualityTable[[#This Row],[Max]]-QualityTable[[#This Row],[Min]]</f>
        <v>14</v>
      </c>
      <c r="P21">
        <f>ROUND(_xlfn.STDEV.P(QualityTable[[#This Row],[Raime]]:QualityTable[[#This Row],[Me]]),2)</f>
        <v>5.24</v>
      </c>
      <c r="Q21" s="4">
        <f>COUNTIFS(QualityTable[Average],"&lt;="&amp;QualityTable[[#This Row],[Average]],QualityTable[Act],QualityTable[[#This Row],[Act]])</f>
        <v>1</v>
      </c>
      <c r="R21" s="4">
        <f>_xlfn.MAXIFS(QualityTable[Act_Rank],QualityTable[Act],QualityTable[[#This Row],[Act]])-QualityTable[[#This Row],[Act_Rank]]</f>
        <v>14</v>
      </c>
    </row>
    <row r="22" spans="1:18" x14ac:dyDescent="0.3">
      <c r="A22">
        <f t="shared" si="0"/>
        <v>21</v>
      </c>
      <c r="B22" t="s">
        <v>33</v>
      </c>
      <c r="C22">
        <v>3</v>
      </c>
      <c r="D22" t="str">
        <f>"./Boss_Images/"&amp;SUBSTITUTE(QualityTable[[#This Row],[Boss]]," ","_")&amp;".png"</f>
        <v>./Boss_Images/Lost_Garmond.png</v>
      </c>
      <c r="E22" s="5" t="s">
        <v>104</v>
      </c>
      <c r="F22">
        <v>13</v>
      </c>
      <c r="H22">
        <v>26</v>
      </c>
      <c r="I22">
        <v>29</v>
      </c>
      <c r="J22">
        <v>25</v>
      </c>
      <c r="K22">
        <f>AVERAGE(QualityTable[[#This Row],[Raime]]:QualityTable[[#This Row],[Me]])</f>
        <v>23.25</v>
      </c>
      <c r="L22">
        <f>ROUND(QualityTable[[#This Row],[Me]]-AVERAGE(QualityTable[[#This Row],[Raime]]:QualityTable[[#This Row],[Ratheil]]),1)</f>
        <v>2.2999999999999998</v>
      </c>
      <c r="M22">
        <f>MAX(QualityTable[[#This Row],[Raime]]:QualityTable[[#This Row],[Me]])</f>
        <v>29</v>
      </c>
      <c r="N22">
        <f>MIN(QualityTable[[#This Row],[Raime]]:QualityTable[[#This Row],[Me]])</f>
        <v>13</v>
      </c>
      <c r="O22">
        <f>QualityTable[[#This Row],[Max]]-QualityTable[[#This Row],[Min]]</f>
        <v>16</v>
      </c>
      <c r="P22">
        <f>ROUND(_xlfn.STDEV.P(QualityTable[[#This Row],[Raime]]:QualityTable[[#This Row],[Me]]),2)</f>
        <v>6.1</v>
      </c>
      <c r="Q22" s="4">
        <f>COUNTIFS(QualityTable[Average],"&lt;="&amp;QualityTable[[#This Row],[Average]],QualityTable[Act],QualityTable[[#This Row],[Act]])</f>
        <v>10</v>
      </c>
      <c r="R22" s="4">
        <f>_xlfn.MAXIFS(QualityTable[Act_Rank],QualityTable[Act],QualityTable[[#This Row],[Act]])-QualityTable[[#This Row],[Act_Rank]]</f>
        <v>5</v>
      </c>
    </row>
    <row r="23" spans="1:18" x14ac:dyDescent="0.3">
      <c r="A23">
        <f t="shared" si="0"/>
        <v>22</v>
      </c>
      <c r="B23" t="s">
        <v>38</v>
      </c>
      <c r="C23">
        <v>3</v>
      </c>
      <c r="D23" t="str">
        <f>"./Boss_Images/"&amp;SUBSTITUTE(QualityTable[[#This Row],[Boss]]," ","_")&amp;".png"</f>
        <v>./Boss_Images/Lost_Lace.png</v>
      </c>
      <c r="E23" s="5" t="s">
        <v>114</v>
      </c>
      <c r="F23">
        <v>7</v>
      </c>
      <c r="G23">
        <v>1</v>
      </c>
      <c r="H23">
        <v>2</v>
      </c>
      <c r="I23">
        <v>1</v>
      </c>
      <c r="J23">
        <v>1</v>
      </c>
      <c r="K23">
        <f>AVERAGE(QualityTable[[#This Row],[Raime]]:QualityTable[[#This Row],[Me]])</f>
        <v>2.4</v>
      </c>
      <c r="L23">
        <f>ROUND(QualityTable[[#This Row],[Me]]-AVERAGE(QualityTable[[#This Row],[Raime]]:QualityTable[[#This Row],[Ratheil]]),1)</f>
        <v>-1.8</v>
      </c>
      <c r="M23">
        <f>MAX(QualityTable[[#This Row],[Raime]]:QualityTable[[#This Row],[Me]])</f>
        <v>7</v>
      </c>
      <c r="N23">
        <f>MIN(QualityTable[[#This Row],[Raime]]:QualityTable[[#This Row],[Me]])</f>
        <v>1</v>
      </c>
      <c r="O23">
        <f>QualityTable[[#This Row],[Max]]-QualityTable[[#This Row],[Min]]</f>
        <v>6</v>
      </c>
      <c r="P23">
        <f>ROUND(_xlfn.STDEV.P(QualityTable[[#This Row],[Raime]]:QualityTable[[#This Row],[Me]]),2)</f>
        <v>2.33</v>
      </c>
      <c r="Q23" s="4">
        <f>COUNTIFS(QualityTable[Average],"&lt;="&amp;QualityTable[[#This Row],[Average]],QualityTable[Act],QualityTable[[#This Row],[Act]])</f>
        <v>2</v>
      </c>
      <c r="R23" s="4">
        <f>_xlfn.MAXIFS(QualityTable[Act_Rank],QualityTable[Act],QualityTable[[#This Row],[Act]])-QualityTable[[#This Row],[Act_Rank]]</f>
        <v>13</v>
      </c>
    </row>
    <row r="24" spans="1:18" x14ac:dyDescent="0.3">
      <c r="A24">
        <f t="shared" si="0"/>
        <v>23</v>
      </c>
      <c r="B24" t="s">
        <v>28</v>
      </c>
      <c r="C24">
        <v>1</v>
      </c>
      <c r="D24" t="str">
        <f>"./Boss_Images/"&amp;SUBSTITUTE(QualityTable[[#This Row],[Boss]]," ","_")&amp;".png"</f>
        <v>./Boss_Images/Moorwing.png</v>
      </c>
      <c r="E24" t="s">
        <v>77</v>
      </c>
      <c r="F24">
        <v>18</v>
      </c>
      <c r="G24">
        <v>21</v>
      </c>
      <c r="H24">
        <v>18</v>
      </c>
      <c r="I24">
        <v>27</v>
      </c>
      <c r="J24">
        <v>19</v>
      </c>
      <c r="K24">
        <f>AVERAGE(QualityTable[[#This Row],[Raime]]:QualityTable[[#This Row],[Me]])</f>
        <v>20.6</v>
      </c>
      <c r="L24">
        <f>ROUND(QualityTable[[#This Row],[Me]]-AVERAGE(QualityTable[[#This Row],[Raime]]:QualityTable[[#This Row],[Ratheil]]),1)</f>
        <v>-2</v>
      </c>
      <c r="M24">
        <f>MAX(QualityTable[[#This Row],[Raime]]:QualityTable[[#This Row],[Me]])</f>
        <v>27</v>
      </c>
      <c r="N24">
        <f>MIN(QualityTable[[#This Row],[Raime]]:QualityTable[[#This Row],[Me]])</f>
        <v>18</v>
      </c>
      <c r="O24">
        <f>QualityTable[[#This Row],[Max]]-QualityTable[[#This Row],[Min]]</f>
        <v>9</v>
      </c>
      <c r="P24">
        <f>ROUND(_xlfn.STDEV.P(QualityTable[[#This Row],[Raime]]:QualityTable[[#This Row],[Me]]),2)</f>
        <v>3.38</v>
      </c>
      <c r="Q24" s="4">
        <f>COUNTIFS(QualityTable[Average],"&lt;="&amp;QualityTable[[#This Row],[Average]],QualityTable[Act],QualityTable[[#This Row],[Act]])</f>
        <v>8</v>
      </c>
      <c r="R24" s="4">
        <f>_xlfn.MAXIFS(QualityTable[Act_Rank],QualityTable[Act],QualityTable[[#This Row],[Act]])-QualityTable[[#This Row],[Act_Rank]]</f>
        <v>7</v>
      </c>
    </row>
    <row r="25" spans="1:18" x14ac:dyDescent="0.3">
      <c r="A25">
        <f t="shared" si="0"/>
        <v>24</v>
      </c>
      <c r="B25" t="s">
        <v>10</v>
      </c>
      <c r="C25">
        <v>1</v>
      </c>
      <c r="D25" t="str">
        <f>"./Boss_Images/"&amp;SUBSTITUTE(QualityTable[[#This Row],[Boss]]," ","_")&amp;".png"</f>
        <v>./Boss_Images/Moss_Mother.png</v>
      </c>
      <c r="E25" t="s">
        <v>73</v>
      </c>
      <c r="F25">
        <v>36</v>
      </c>
      <c r="G25">
        <v>35</v>
      </c>
      <c r="H25">
        <v>31</v>
      </c>
      <c r="I25">
        <v>32</v>
      </c>
      <c r="J25">
        <v>36</v>
      </c>
      <c r="K25">
        <f>AVERAGE(QualityTable[[#This Row],[Raime]]:QualityTable[[#This Row],[Me]])</f>
        <v>34</v>
      </c>
      <c r="L25">
        <f>ROUND(QualityTable[[#This Row],[Me]]-AVERAGE(QualityTable[[#This Row],[Raime]]:QualityTable[[#This Row],[Ratheil]]),1)</f>
        <v>2.5</v>
      </c>
      <c r="M25">
        <f>MAX(QualityTable[[#This Row],[Raime]]:QualityTable[[#This Row],[Me]])</f>
        <v>36</v>
      </c>
      <c r="N25">
        <f>MIN(QualityTable[[#This Row],[Raime]]:QualityTable[[#This Row],[Me]])</f>
        <v>31</v>
      </c>
      <c r="O25">
        <f>QualityTable[[#This Row],[Max]]-QualityTable[[#This Row],[Min]]</f>
        <v>5</v>
      </c>
      <c r="P25">
        <f>ROUND(_xlfn.STDEV.P(QualityTable[[#This Row],[Raime]]:QualityTable[[#This Row],[Me]]),2)</f>
        <v>2.1</v>
      </c>
      <c r="Q25" s="4">
        <f>COUNTIFS(QualityTable[Average],"&lt;="&amp;QualityTable[[#This Row],[Average]],QualityTable[Act],QualityTable[[#This Row],[Act]])</f>
        <v>12</v>
      </c>
      <c r="R25" s="4">
        <f>_xlfn.MAXIFS(QualityTable[Act_Rank],QualityTable[Act],QualityTable[[#This Row],[Act]])-QualityTable[[#This Row],[Act_Rank]]</f>
        <v>3</v>
      </c>
    </row>
    <row r="26" spans="1:18" x14ac:dyDescent="0.3">
      <c r="A26">
        <f t="shared" si="0"/>
        <v>25</v>
      </c>
      <c r="B26" t="s">
        <v>48</v>
      </c>
      <c r="C26">
        <v>1</v>
      </c>
      <c r="D26" t="str">
        <f>"./Boss_Images/"&amp;SUBSTITUTE(QualityTable[[#This Row],[Boss]]," ","_")&amp;".png"</f>
        <v>./Boss_Images/Moss_Mother_Duo.png</v>
      </c>
      <c r="E26" t="s">
        <v>81</v>
      </c>
      <c r="G26">
        <v>34</v>
      </c>
      <c r="H26">
        <v>23</v>
      </c>
      <c r="I26">
        <v>31</v>
      </c>
      <c r="J26">
        <v>29</v>
      </c>
      <c r="K26">
        <f>AVERAGE(QualityTable[[#This Row],[Raime]]:QualityTable[[#This Row],[Me]])</f>
        <v>29.25</v>
      </c>
      <c r="L26">
        <f>ROUND(QualityTable[[#This Row],[Me]]-AVERAGE(QualityTable[[#This Row],[Raime]]:QualityTable[[#This Row],[Ratheil]]),1)</f>
        <v>-0.3</v>
      </c>
      <c r="M26">
        <f>MAX(QualityTable[[#This Row],[Raime]]:QualityTable[[#This Row],[Me]])</f>
        <v>34</v>
      </c>
      <c r="N26">
        <f>MIN(QualityTable[[#This Row],[Raime]]:QualityTable[[#This Row],[Me]])</f>
        <v>23</v>
      </c>
      <c r="O26">
        <f>QualityTable[[#This Row],[Max]]-QualityTable[[#This Row],[Min]]</f>
        <v>11</v>
      </c>
      <c r="P26">
        <f>ROUND(_xlfn.STDEV.P(QualityTable[[#This Row],[Raime]]:QualityTable[[#This Row],[Me]]),2)</f>
        <v>4.0199999999999996</v>
      </c>
      <c r="Q26" s="4">
        <f>COUNTIFS(QualityTable[Average],"&lt;="&amp;QualityTable[[#This Row],[Average]],QualityTable[Act],QualityTable[[#This Row],[Act]])</f>
        <v>11</v>
      </c>
      <c r="R26" s="4">
        <f>_xlfn.MAXIFS(QualityTable[Act_Rank],QualityTable[Act],QualityTable[[#This Row],[Act]])-QualityTable[[#This Row],[Act_Rank]]</f>
        <v>4</v>
      </c>
    </row>
    <row r="27" spans="1:18" x14ac:dyDescent="0.3">
      <c r="A27">
        <f t="shared" si="0"/>
        <v>26</v>
      </c>
      <c r="B27" t="s">
        <v>25</v>
      </c>
      <c r="C27">
        <v>3</v>
      </c>
      <c r="D27" t="str">
        <f>"./Boss_Images/"&amp;SUBSTITUTE(QualityTable[[#This Row],[Boss]]," ","_")&amp;".png"</f>
        <v>./Boss_Images/Nyleth.png</v>
      </c>
      <c r="E27" s="5" t="s">
        <v>101</v>
      </c>
      <c r="F27">
        <v>21</v>
      </c>
      <c r="G27">
        <v>23</v>
      </c>
      <c r="H27">
        <v>25</v>
      </c>
      <c r="I27">
        <v>16</v>
      </c>
      <c r="J27">
        <v>30</v>
      </c>
      <c r="K27">
        <f>AVERAGE(QualityTable[[#This Row],[Raime]]:QualityTable[[#This Row],[Me]])</f>
        <v>23</v>
      </c>
      <c r="L27">
        <f>ROUND(QualityTable[[#This Row],[Me]]-AVERAGE(QualityTable[[#This Row],[Raime]]:QualityTable[[#This Row],[Ratheil]]),1)</f>
        <v>8.8000000000000007</v>
      </c>
      <c r="M27">
        <f>MAX(QualityTable[[#This Row],[Raime]]:QualityTable[[#This Row],[Me]])</f>
        <v>30</v>
      </c>
      <c r="N27">
        <f>MIN(QualityTable[[#This Row],[Raime]]:QualityTable[[#This Row],[Me]])</f>
        <v>16</v>
      </c>
      <c r="O27">
        <f>QualityTable[[#This Row],[Max]]-QualityTable[[#This Row],[Min]]</f>
        <v>14</v>
      </c>
      <c r="P27">
        <f>ROUND(_xlfn.STDEV.P(QualityTable[[#This Row],[Raime]]:QualityTable[[#This Row],[Me]]),2)</f>
        <v>4.5999999999999996</v>
      </c>
      <c r="Q27" s="4">
        <f>COUNTIFS(QualityTable[Average],"&lt;="&amp;QualityTable[[#This Row],[Average]],QualityTable[Act],QualityTable[[#This Row],[Act]])</f>
        <v>9</v>
      </c>
      <c r="R27" s="4">
        <f>_xlfn.MAXIFS(QualityTable[Act_Rank],QualityTable[Act],QualityTable[[#This Row],[Act]])-QualityTable[[#This Row],[Act_Rank]]</f>
        <v>6</v>
      </c>
    </row>
    <row r="28" spans="1:18" x14ac:dyDescent="0.3">
      <c r="A28">
        <f t="shared" si="0"/>
        <v>27</v>
      </c>
      <c r="B28" t="s">
        <v>4</v>
      </c>
      <c r="C28">
        <v>3</v>
      </c>
      <c r="D28" t="str">
        <f>"./Boss_Images/"&amp;SUBSTITUTE(QualityTable[[#This Row],[Boss]]," ","_")&amp;".png"</f>
        <v>./Boss_Images/Pale_Stag.png</v>
      </c>
      <c r="E28" t="s">
        <v>105</v>
      </c>
      <c r="F28">
        <v>42</v>
      </c>
      <c r="H28">
        <v>34</v>
      </c>
      <c r="I28">
        <v>43</v>
      </c>
      <c r="J28">
        <v>38</v>
      </c>
      <c r="K28">
        <f>AVERAGE(QualityTable[[#This Row],[Raime]]:QualityTable[[#This Row],[Me]])</f>
        <v>39.25</v>
      </c>
      <c r="L28">
        <f>ROUND(QualityTable[[#This Row],[Me]]-AVERAGE(QualityTable[[#This Row],[Raime]]:QualityTable[[#This Row],[Ratheil]]),1)</f>
        <v>-1.7</v>
      </c>
      <c r="M28">
        <f>MAX(QualityTable[[#This Row],[Raime]]:QualityTable[[#This Row],[Me]])</f>
        <v>43</v>
      </c>
      <c r="N28">
        <f>MIN(QualityTable[[#This Row],[Raime]]:QualityTable[[#This Row],[Me]])</f>
        <v>34</v>
      </c>
      <c r="O28">
        <f>QualityTable[[#This Row],[Max]]-QualityTable[[#This Row],[Min]]</f>
        <v>9</v>
      </c>
      <c r="P28">
        <f>ROUND(_xlfn.STDEV.P(QualityTable[[#This Row],[Raime]]:QualityTable[[#This Row],[Me]]),2)</f>
        <v>3.56</v>
      </c>
      <c r="Q28" s="4">
        <f>COUNTIFS(QualityTable[Average],"&lt;="&amp;QualityTable[[#This Row],[Average]],QualityTable[Act],QualityTable[[#This Row],[Act]])</f>
        <v>15</v>
      </c>
      <c r="R28" s="4">
        <f>_xlfn.MAXIFS(QualityTable[Act_Rank],QualityTable[Act],QualityTable[[#This Row],[Act]])-QualityTable[[#This Row],[Act_Rank]]</f>
        <v>0</v>
      </c>
    </row>
    <row r="29" spans="1:18" x14ac:dyDescent="0.3">
      <c r="A29">
        <f t="shared" si="0"/>
        <v>28</v>
      </c>
      <c r="B29" t="s">
        <v>34</v>
      </c>
      <c r="C29">
        <v>1</v>
      </c>
      <c r="D29" t="str">
        <f>"./Boss_Images/"&amp;SUBSTITUTE(QualityTable[[#This Row],[Boss]]," ","_")&amp;".png"</f>
        <v>./Boss_Images/Phantom.png</v>
      </c>
      <c r="E29" s="5" t="s">
        <v>92</v>
      </c>
      <c r="F29">
        <v>12</v>
      </c>
      <c r="G29">
        <v>13</v>
      </c>
      <c r="H29">
        <v>12</v>
      </c>
      <c r="I29">
        <v>10</v>
      </c>
      <c r="J29">
        <v>15</v>
      </c>
      <c r="K29">
        <f>AVERAGE(QualityTable[[#This Row],[Raime]]:QualityTable[[#This Row],[Me]])</f>
        <v>12.4</v>
      </c>
      <c r="L29">
        <f>ROUND(QualityTable[[#This Row],[Me]]-AVERAGE(QualityTable[[#This Row],[Raime]]:QualityTable[[#This Row],[Ratheil]]),1)</f>
        <v>3.3</v>
      </c>
      <c r="M29">
        <f>MAX(QualityTable[[#This Row],[Raime]]:QualityTable[[#This Row],[Me]])</f>
        <v>15</v>
      </c>
      <c r="N29">
        <f>MIN(QualityTable[[#This Row],[Raime]]:QualityTable[[#This Row],[Me]])</f>
        <v>10</v>
      </c>
      <c r="O29">
        <f>QualityTable[[#This Row],[Max]]-QualityTable[[#This Row],[Min]]</f>
        <v>5</v>
      </c>
      <c r="P29">
        <f>ROUND(_xlfn.STDEV.P(QualityTable[[#This Row],[Raime]]:QualityTable[[#This Row],[Me]]),2)</f>
        <v>1.62</v>
      </c>
      <c r="Q29" s="4">
        <f>COUNTIFS(QualityTable[Average],"&lt;="&amp;QualityTable[[#This Row],[Average]],QualityTable[Act],QualityTable[[#This Row],[Act]])</f>
        <v>3</v>
      </c>
      <c r="R29" s="4">
        <f>_xlfn.MAXIFS(QualityTable[Act_Rank],QualityTable[Act],QualityTable[[#This Row],[Act]])-QualityTable[[#This Row],[Act_Rank]]</f>
        <v>12</v>
      </c>
    </row>
    <row r="30" spans="1:18" x14ac:dyDescent="0.3">
      <c r="A30">
        <f t="shared" si="0"/>
        <v>29</v>
      </c>
      <c r="B30" t="s">
        <v>19</v>
      </c>
      <c r="C30">
        <v>3</v>
      </c>
      <c r="D30" t="str">
        <f>"./Boss_Images/"&amp;SUBSTITUTE(QualityTable[[#This Row],[Boss]]," ","_")&amp;".png"</f>
        <v>./Boss_Images/Pinstress.png</v>
      </c>
      <c r="E30" s="5" t="s">
        <v>98</v>
      </c>
      <c r="F30">
        <v>27</v>
      </c>
      <c r="G30">
        <v>24</v>
      </c>
      <c r="H30">
        <v>36</v>
      </c>
      <c r="I30">
        <v>21</v>
      </c>
      <c r="J30">
        <v>32</v>
      </c>
      <c r="K30">
        <f>AVERAGE(QualityTable[[#This Row],[Raime]]:QualityTable[[#This Row],[Me]])</f>
        <v>28</v>
      </c>
      <c r="L30">
        <f>ROUND(QualityTable[[#This Row],[Me]]-AVERAGE(QualityTable[[#This Row],[Raime]]:QualityTable[[#This Row],[Ratheil]]),1)</f>
        <v>5</v>
      </c>
      <c r="M30">
        <f>MAX(QualityTable[[#This Row],[Raime]]:QualityTable[[#This Row],[Me]])</f>
        <v>36</v>
      </c>
      <c r="N30">
        <f>MIN(QualityTable[[#This Row],[Raime]]:QualityTable[[#This Row],[Me]])</f>
        <v>21</v>
      </c>
      <c r="O30">
        <f>QualityTable[[#This Row],[Max]]-QualityTable[[#This Row],[Min]]</f>
        <v>15</v>
      </c>
      <c r="P30">
        <f>ROUND(_xlfn.STDEV.P(QualityTable[[#This Row],[Raime]]:QualityTable[[#This Row],[Me]]),2)</f>
        <v>5.4</v>
      </c>
      <c r="Q30" s="4">
        <f>COUNTIFS(QualityTable[Average],"&lt;="&amp;QualityTable[[#This Row],[Average]],QualityTable[Act],QualityTable[[#This Row],[Act]])</f>
        <v>12</v>
      </c>
      <c r="R30" s="4">
        <f>_xlfn.MAXIFS(QualityTable[Act_Rank],QualityTable[Act],QualityTable[[#This Row],[Act]])-QualityTable[[#This Row],[Act_Rank]]</f>
        <v>3</v>
      </c>
    </row>
    <row r="31" spans="1:18" x14ac:dyDescent="0.3">
      <c r="A31">
        <f t="shared" si="0"/>
        <v>30</v>
      </c>
      <c r="B31" t="s">
        <v>6</v>
      </c>
      <c r="C31">
        <v>2</v>
      </c>
      <c r="D31" t="str">
        <f>"./Boss_Images/"&amp;SUBSTITUTE(QualityTable[[#This Row],[Boss]]," ","_")&amp;".png"</f>
        <v>./Boss_Images/Plasmified_Zago.png</v>
      </c>
      <c r="E31" t="s">
        <v>112</v>
      </c>
      <c r="F31">
        <v>40</v>
      </c>
      <c r="H31">
        <v>39</v>
      </c>
      <c r="I31">
        <v>33</v>
      </c>
      <c r="K31">
        <f>AVERAGE(QualityTable[[#This Row],[Raime]]:QualityTable[[#This Row],[Me]])</f>
        <v>37.333333333333336</v>
      </c>
      <c r="L31">
        <f>ROUND(QualityTable[[#This Row],[Me]]-AVERAGE(QualityTable[[#This Row],[Raime]]:QualityTable[[#This Row],[Ratheil]]),1)</f>
        <v>-37.299999999999997</v>
      </c>
      <c r="M31">
        <f>MAX(QualityTable[[#This Row],[Raime]]:QualityTable[[#This Row],[Me]])</f>
        <v>40</v>
      </c>
      <c r="N31">
        <f>MIN(QualityTable[[#This Row],[Raime]]:QualityTable[[#This Row],[Me]])</f>
        <v>33</v>
      </c>
      <c r="O31">
        <f>QualityTable[[#This Row],[Max]]-QualityTable[[#This Row],[Min]]</f>
        <v>7</v>
      </c>
      <c r="P31">
        <f>ROUND(_xlfn.STDEV.P(QualityTable[[#This Row],[Raime]]:QualityTable[[#This Row],[Me]]),2)</f>
        <v>3.09</v>
      </c>
      <c r="Q31" s="4">
        <f>COUNTIFS(QualityTable[Average],"&lt;="&amp;QualityTable[[#This Row],[Average]],QualityTable[Act],QualityTable[[#This Row],[Act]])</f>
        <v>15</v>
      </c>
      <c r="R31" s="4">
        <f>_xlfn.MAXIFS(QualityTable[Act_Rank],QualityTable[Act],QualityTable[[#This Row],[Act]])-QualityTable[[#This Row],[Act_Rank]]</f>
        <v>0</v>
      </c>
    </row>
    <row r="32" spans="1:18" x14ac:dyDescent="0.3">
      <c r="A32">
        <f t="shared" si="0"/>
        <v>31</v>
      </c>
      <c r="B32" t="s">
        <v>27</v>
      </c>
      <c r="C32">
        <v>1</v>
      </c>
      <c r="D32" t="str">
        <f>"./Boss_Images/"&amp;SUBSTITUTE(QualityTable[[#This Row],[Boss]]," ","_")&amp;".png"</f>
        <v>./Boss_Images/Raging_Conchfly.png</v>
      </c>
      <c r="E32" s="5" t="s">
        <v>95</v>
      </c>
      <c r="F32">
        <v>19</v>
      </c>
      <c r="G32">
        <v>11</v>
      </c>
      <c r="H32">
        <v>11</v>
      </c>
      <c r="I32">
        <v>34</v>
      </c>
      <c r="J32">
        <v>23</v>
      </c>
      <c r="K32">
        <f>AVERAGE(QualityTable[[#This Row],[Raime]]:QualityTable[[#This Row],[Me]])</f>
        <v>19.600000000000001</v>
      </c>
      <c r="L32">
        <f>ROUND(QualityTable[[#This Row],[Me]]-AVERAGE(QualityTable[[#This Row],[Raime]]:QualityTable[[#This Row],[Ratheil]]),1)</f>
        <v>4.3</v>
      </c>
      <c r="M32">
        <f>MAX(QualityTable[[#This Row],[Raime]]:QualityTable[[#This Row],[Me]])</f>
        <v>34</v>
      </c>
      <c r="N32">
        <f>MIN(QualityTable[[#This Row],[Raime]]:QualityTable[[#This Row],[Me]])</f>
        <v>11</v>
      </c>
      <c r="O32">
        <f>QualityTable[[#This Row],[Max]]-QualityTable[[#This Row],[Min]]</f>
        <v>23</v>
      </c>
      <c r="P32">
        <f>ROUND(_xlfn.STDEV.P(QualityTable[[#This Row],[Raime]]:QualityTable[[#This Row],[Me]]),2)</f>
        <v>8.57</v>
      </c>
      <c r="Q32" s="4">
        <f>COUNTIFS(QualityTable[Average],"&lt;="&amp;QualityTable[[#This Row],[Average]],QualityTable[Act],QualityTable[[#This Row],[Act]])</f>
        <v>6</v>
      </c>
      <c r="R32" s="4">
        <f>_xlfn.MAXIFS(QualityTable[Act_Rank],QualityTable[Act],QualityTable[[#This Row],[Act]])-QualityTable[[#This Row],[Act_Rank]]</f>
        <v>9</v>
      </c>
    </row>
    <row r="33" spans="1:18" x14ac:dyDescent="0.3">
      <c r="A33">
        <f t="shared" si="0"/>
        <v>32</v>
      </c>
      <c r="B33" t="s">
        <v>5</v>
      </c>
      <c r="C33">
        <v>1</v>
      </c>
      <c r="D33" t="str">
        <f>"./Boss_Images/"&amp;SUBSTITUTE(QualityTable[[#This Row],[Boss]]," ","_")&amp;".png"</f>
        <v>./Boss_Images/Savage_Beastfly.png</v>
      </c>
      <c r="E33" t="s">
        <v>88</v>
      </c>
      <c r="F33">
        <v>41</v>
      </c>
      <c r="G33">
        <v>36</v>
      </c>
      <c r="H33">
        <v>38</v>
      </c>
      <c r="I33">
        <v>30</v>
      </c>
      <c r="J33">
        <v>33</v>
      </c>
      <c r="K33">
        <f>AVERAGE(QualityTable[[#This Row],[Raime]]:QualityTable[[#This Row],[Me]])</f>
        <v>35.6</v>
      </c>
      <c r="L33">
        <f>ROUND(QualityTable[[#This Row],[Me]]-AVERAGE(QualityTable[[#This Row],[Raime]]:QualityTable[[#This Row],[Ratheil]]),1)</f>
        <v>-3.3</v>
      </c>
      <c r="M33">
        <f>MAX(QualityTable[[#This Row],[Raime]]:QualityTable[[#This Row],[Me]])</f>
        <v>41</v>
      </c>
      <c r="N33">
        <f>MIN(QualityTable[[#This Row],[Raime]]:QualityTable[[#This Row],[Me]])</f>
        <v>30</v>
      </c>
      <c r="O33">
        <f>QualityTable[[#This Row],[Max]]-QualityTable[[#This Row],[Min]]</f>
        <v>11</v>
      </c>
      <c r="P33">
        <f>ROUND(_xlfn.STDEV.P(QualityTable[[#This Row],[Raime]]:QualityTable[[#This Row],[Me]]),2)</f>
        <v>3.83</v>
      </c>
      <c r="Q33" s="4">
        <f>COUNTIFS(QualityTable[Average],"&lt;="&amp;QualityTable[[#This Row],[Average]],QualityTable[Act],QualityTable[[#This Row],[Act]])</f>
        <v>13</v>
      </c>
      <c r="R33" s="4">
        <f>_xlfn.MAXIFS(QualityTable[Act_Rank],QualityTable[Act],QualityTable[[#This Row],[Act]])-QualityTable[[#This Row],[Act_Rank]]</f>
        <v>2</v>
      </c>
    </row>
    <row r="34" spans="1:18" x14ac:dyDescent="0.3">
      <c r="A34">
        <f t="shared" si="0"/>
        <v>33</v>
      </c>
      <c r="B34" t="s">
        <v>39</v>
      </c>
      <c r="C34">
        <v>2</v>
      </c>
      <c r="D34" t="str">
        <f>"./Boss_Images/"&amp;SUBSTITUTE(QualityTable[[#This Row],[Boss]]," ","_")&amp;".png"</f>
        <v>./Boss_Images/Second_Sentinel.png</v>
      </c>
      <c r="E34" s="5" t="s">
        <v>110</v>
      </c>
      <c r="F34">
        <v>6</v>
      </c>
      <c r="H34">
        <v>8</v>
      </c>
      <c r="I34">
        <v>15</v>
      </c>
      <c r="J34">
        <v>12</v>
      </c>
      <c r="K34">
        <f>AVERAGE(QualityTable[[#This Row],[Raime]]:QualityTable[[#This Row],[Me]])</f>
        <v>10.25</v>
      </c>
      <c r="L34">
        <f>ROUND(QualityTable[[#This Row],[Me]]-AVERAGE(QualityTable[[#This Row],[Raime]]:QualityTable[[#This Row],[Ratheil]]),1)</f>
        <v>2.2999999999999998</v>
      </c>
      <c r="M34">
        <f>MAX(QualityTable[[#This Row],[Raime]]:QualityTable[[#This Row],[Me]])</f>
        <v>15</v>
      </c>
      <c r="N34">
        <f>MIN(QualityTable[[#This Row],[Raime]]:QualityTable[[#This Row],[Me]])</f>
        <v>6</v>
      </c>
      <c r="O34">
        <f>QualityTable[[#This Row],[Max]]-QualityTable[[#This Row],[Min]]</f>
        <v>9</v>
      </c>
      <c r="P34">
        <f>ROUND(_xlfn.STDEV.P(QualityTable[[#This Row],[Raime]]:QualityTable[[#This Row],[Me]]),2)</f>
        <v>3.49</v>
      </c>
      <c r="Q34" s="4">
        <f>COUNTIFS(QualityTable[Average],"&lt;="&amp;QualityTable[[#This Row],[Average]],QualityTable[Act],QualityTable[[#This Row],[Act]])</f>
        <v>5</v>
      </c>
      <c r="R34" s="4">
        <f>_xlfn.MAXIFS(QualityTable[Act_Rank],QualityTable[Act],QualityTable[[#This Row],[Act]])-QualityTable[[#This Row],[Act_Rank]]</f>
        <v>10</v>
      </c>
    </row>
    <row r="35" spans="1:18" x14ac:dyDescent="0.3">
      <c r="A35">
        <f t="shared" si="0"/>
        <v>34</v>
      </c>
      <c r="B35" t="s">
        <v>53</v>
      </c>
      <c r="C35">
        <v>2</v>
      </c>
      <c r="D35" t="str">
        <f>"./Boss_Images/"&amp;SUBSTITUTE(QualityTable[[#This Row],[Boss]]," ","_")&amp;".png"</f>
        <v>./Boss_Images/Shakra.png</v>
      </c>
      <c r="E35" t="s">
        <v>115</v>
      </c>
      <c r="G35">
        <v>20</v>
      </c>
      <c r="I35">
        <v>12</v>
      </c>
      <c r="J35">
        <v>13</v>
      </c>
      <c r="K35">
        <f>AVERAGE(QualityTable[[#This Row],[Raime]]:QualityTable[[#This Row],[Me]])</f>
        <v>15</v>
      </c>
      <c r="L35">
        <f>ROUND(QualityTable[[#This Row],[Me]]-AVERAGE(QualityTable[[#This Row],[Raime]]:QualityTable[[#This Row],[Ratheil]]),1)</f>
        <v>-3</v>
      </c>
      <c r="M35">
        <f>MAX(QualityTable[[#This Row],[Raime]]:QualityTable[[#This Row],[Me]])</f>
        <v>20</v>
      </c>
      <c r="N35">
        <f>MIN(QualityTable[[#This Row],[Raime]]:QualityTable[[#This Row],[Me]])</f>
        <v>12</v>
      </c>
      <c r="O35">
        <f>QualityTable[[#This Row],[Max]]-QualityTable[[#This Row],[Min]]</f>
        <v>8</v>
      </c>
      <c r="P35">
        <f>ROUND(_xlfn.STDEV.P(QualityTable[[#This Row],[Raime]]:QualityTable[[#This Row],[Me]]),2)</f>
        <v>3.56</v>
      </c>
      <c r="Q35" s="4">
        <f>COUNTIFS(QualityTable[Average],"&lt;="&amp;QualityTable[[#This Row],[Average]],QualityTable[Act],QualityTable[[#This Row],[Act]])</f>
        <v>7</v>
      </c>
      <c r="R35" s="4">
        <f>_xlfn.MAXIFS(QualityTable[Act_Rank],QualityTable[Act],QualityTable[[#This Row],[Act]])-QualityTable[[#This Row],[Act_Rank]]</f>
        <v>8</v>
      </c>
    </row>
    <row r="36" spans="1:18" x14ac:dyDescent="0.3">
      <c r="A36">
        <f t="shared" si="0"/>
        <v>35</v>
      </c>
      <c r="B36" t="s">
        <v>41</v>
      </c>
      <c r="C36">
        <v>3</v>
      </c>
      <c r="D36" t="str">
        <f>"./Boss_Images/"&amp;SUBSTITUTE(QualityTable[[#This Row],[Boss]]," ","_")&amp;".png"</f>
        <v>./Boss_Images/Shrine_Guardian_Seth.png</v>
      </c>
      <c r="E36" s="5" t="s">
        <v>100</v>
      </c>
      <c r="F36">
        <v>4</v>
      </c>
      <c r="G36">
        <v>29</v>
      </c>
      <c r="H36">
        <v>10</v>
      </c>
      <c r="I36">
        <v>12</v>
      </c>
      <c r="J36">
        <v>11</v>
      </c>
      <c r="K36">
        <f>AVERAGE(QualityTable[[#This Row],[Raime]]:QualityTable[[#This Row],[Me]])</f>
        <v>13.2</v>
      </c>
      <c r="L36">
        <f>ROUND(QualityTable[[#This Row],[Me]]-AVERAGE(QualityTable[[#This Row],[Raime]]:QualityTable[[#This Row],[Ratheil]]),1)</f>
        <v>-2.8</v>
      </c>
      <c r="M36">
        <f>MAX(QualityTable[[#This Row],[Raime]]:QualityTable[[#This Row],[Me]])</f>
        <v>29</v>
      </c>
      <c r="N36">
        <f>MIN(QualityTable[[#This Row],[Raime]]:QualityTable[[#This Row],[Me]])</f>
        <v>4</v>
      </c>
      <c r="O36">
        <f>QualityTable[[#This Row],[Max]]-QualityTable[[#This Row],[Min]]</f>
        <v>25</v>
      </c>
      <c r="P36">
        <f>ROUND(_xlfn.STDEV.P(QualityTable[[#This Row],[Raime]]:QualityTable[[#This Row],[Me]]),2)</f>
        <v>8.3800000000000008</v>
      </c>
      <c r="Q36" s="4">
        <f>COUNTIFS(QualityTable[Average],"&lt;="&amp;QualityTable[[#This Row],[Average]],QualityTable[Act],QualityTable[[#This Row],[Act]])</f>
        <v>4</v>
      </c>
      <c r="R36" s="4">
        <f>_xlfn.MAXIFS(QualityTable[Act_Rank],QualityTable[Act],QualityTable[[#This Row],[Act]])-QualityTable[[#This Row],[Act_Rank]]</f>
        <v>11</v>
      </c>
    </row>
    <row r="37" spans="1:18" x14ac:dyDescent="0.3">
      <c r="A37">
        <f t="shared" si="0"/>
        <v>36</v>
      </c>
      <c r="B37" t="s">
        <v>16</v>
      </c>
      <c r="C37">
        <v>1</v>
      </c>
      <c r="D37" t="str">
        <f>"./Boss_Images/"&amp;SUBSTITUTE(QualityTable[[#This Row],[Boss]]," ","_")&amp;".png"</f>
        <v>./Boss_Images/Sister_Splinter.png</v>
      </c>
      <c r="E37" t="s">
        <v>78</v>
      </c>
      <c r="F37">
        <v>30</v>
      </c>
      <c r="G37">
        <v>14</v>
      </c>
      <c r="H37">
        <v>20</v>
      </c>
      <c r="I37">
        <v>17</v>
      </c>
      <c r="J37">
        <v>18</v>
      </c>
      <c r="K37">
        <f>AVERAGE(QualityTable[[#This Row],[Raime]]:QualityTable[[#This Row],[Me]])</f>
        <v>19.8</v>
      </c>
      <c r="L37">
        <f>ROUND(QualityTable[[#This Row],[Me]]-AVERAGE(QualityTable[[#This Row],[Raime]]:QualityTable[[#This Row],[Ratheil]]),1)</f>
        <v>-2.2999999999999998</v>
      </c>
      <c r="M37">
        <f>MAX(QualityTable[[#This Row],[Raime]]:QualityTable[[#This Row],[Me]])</f>
        <v>30</v>
      </c>
      <c r="N37">
        <f>MIN(QualityTable[[#This Row],[Raime]]:QualityTable[[#This Row],[Me]])</f>
        <v>14</v>
      </c>
      <c r="O37">
        <f>QualityTable[[#This Row],[Max]]-QualityTable[[#This Row],[Min]]</f>
        <v>16</v>
      </c>
      <c r="P37">
        <f>ROUND(_xlfn.STDEV.P(QualityTable[[#This Row],[Raime]]:QualityTable[[#This Row],[Me]]),2)</f>
        <v>5.46</v>
      </c>
      <c r="Q37" s="4">
        <f>COUNTIFS(QualityTable[Average],"&lt;="&amp;QualityTable[[#This Row],[Average]],QualityTable[Act],QualityTable[[#This Row],[Act]])</f>
        <v>7</v>
      </c>
      <c r="R37" s="4">
        <f>_xlfn.MAXIFS(QualityTable[Act_Rank],QualityTable[Act],QualityTable[[#This Row],[Act]])-QualityTable[[#This Row],[Act_Rank]]</f>
        <v>8</v>
      </c>
    </row>
    <row r="38" spans="1:18" x14ac:dyDescent="0.3">
      <c r="A38">
        <f t="shared" si="0"/>
        <v>37</v>
      </c>
      <c r="B38" t="s">
        <v>116</v>
      </c>
      <c r="C38">
        <v>3</v>
      </c>
      <c r="D38" t="str">
        <f>"./Boss_Images/"&amp;SUBSTITUTE(QualityTable[[#This Row],[Boss]]," ","_")&amp;".png"</f>
        <v>./Boss_Images/Skarsinger_Karmelita.png</v>
      </c>
      <c r="E38" t="s">
        <v>99</v>
      </c>
      <c r="F38">
        <v>2</v>
      </c>
      <c r="G38">
        <v>2</v>
      </c>
      <c r="H38">
        <v>1</v>
      </c>
      <c r="I38">
        <v>2</v>
      </c>
      <c r="J38">
        <v>3</v>
      </c>
      <c r="K38">
        <f>AVERAGE(QualityTable[[#This Row],[Raime]]:QualityTable[[#This Row],[Me]])</f>
        <v>2</v>
      </c>
      <c r="L38">
        <f>ROUND(QualityTable[[#This Row],[Me]]-AVERAGE(QualityTable[[#This Row],[Raime]]:QualityTable[[#This Row],[Ratheil]]),1)</f>
        <v>1.3</v>
      </c>
      <c r="M38">
        <f>MAX(QualityTable[[#This Row],[Raime]]:QualityTable[[#This Row],[Me]])</f>
        <v>3</v>
      </c>
      <c r="N38">
        <f>MIN(QualityTable[[#This Row],[Raime]]:QualityTable[[#This Row],[Me]])</f>
        <v>1</v>
      </c>
      <c r="O38">
        <f>QualityTable[[#This Row],[Max]]-QualityTable[[#This Row],[Min]]</f>
        <v>2</v>
      </c>
      <c r="P38">
        <f>ROUND(_xlfn.STDEV.P(QualityTable[[#This Row],[Raime]]:QualityTable[[#This Row],[Me]]),2)</f>
        <v>0.63</v>
      </c>
      <c r="Q38" s="4">
        <f>COUNTIFS(QualityTable[Average],"&lt;="&amp;QualityTable[[#This Row],[Average]],QualityTable[Act],QualityTable[[#This Row],[Act]])</f>
        <v>1</v>
      </c>
      <c r="R38" s="4">
        <f>_xlfn.MAXIFS(QualityTable[Act_Rank],QualityTable[Act],QualityTable[[#This Row],[Act]])-QualityTable[[#This Row],[Act_Rank]]</f>
        <v>14</v>
      </c>
    </row>
    <row r="39" spans="1:18" x14ac:dyDescent="0.3">
      <c r="A39">
        <f t="shared" si="0"/>
        <v>38</v>
      </c>
      <c r="B39" t="s">
        <v>12</v>
      </c>
      <c r="C39">
        <v>1</v>
      </c>
      <c r="D39" t="str">
        <f>"./Boss_Images/"&amp;SUBSTITUTE(QualityTable[[#This Row],[Boss]]," ","_")&amp;".png"</f>
        <v>./Boss_Images/Skull_Tyrant.png</v>
      </c>
      <c r="E39" t="s">
        <v>80</v>
      </c>
      <c r="F39">
        <v>34</v>
      </c>
      <c r="G39">
        <v>31</v>
      </c>
      <c r="H39">
        <v>37</v>
      </c>
      <c r="I39">
        <v>38</v>
      </c>
      <c r="J39">
        <v>39</v>
      </c>
      <c r="K39">
        <f>AVERAGE(QualityTable[[#This Row],[Raime]]:QualityTable[[#This Row],[Me]])</f>
        <v>35.799999999999997</v>
      </c>
      <c r="L39">
        <f>ROUND(QualityTable[[#This Row],[Me]]-AVERAGE(QualityTable[[#This Row],[Raime]]:QualityTable[[#This Row],[Ratheil]]),1)</f>
        <v>4</v>
      </c>
      <c r="M39">
        <f>MAX(QualityTable[[#This Row],[Raime]]:QualityTable[[#This Row],[Me]])</f>
        <v>39</v>
      </c>
      <c r="N39">
        <f>MIN(QualityTable[[#This Row],[Raime]]:QualityTable[[#This Row],[Me]])</f>
        <v>31</v>
      </c>
      <c r="O39">
        <f>QualityTable[[#This Row],[Max]]-QualityTable[[#This Row],[Min]]</f>
        <v>8</v>
      </c>
      <c r="P39">
        <f>ROUND(_xlfn.STDEV.P(QualityTable[[#This Row],[Raime]]:QualityTable[[#This Row],[Me]]),2)</f>
        <v>2.93</v>
      </c>
      <c r="Q39" s="4">
        <f>COUNTIFS(QualityTable[Average],"&lt;="&amp;QualityTable[[#This Row],[Average]],QualityTable[Act],QualityTable[[#This Row],[Act]])</f>
        <v>14</v>
      </c>
      <c r="R39" s="4">
        <f>_xlfn.MAXIFS(QualityTable[Act_Rank],QualityTable[Act],QualityTable[[#This Row],[Act]])-QualityTable[[#This Row],[Act_Rank]]</f>
        <v>1</v>
      </c>
    </row>
    <row r="40" spans="1:18" x14ac:dyDescent="0.3">
      <c r="A40">
        <f t="shared" si="0"/>
        <v>39</v>
      </c>
      <c r="B40" t="s">
        <v>8</v>
      </c>
      <c r="C40">
        <v>3</v>
      </c>
      <c r="D40" t="str">
        <f>"./Boss_Images/"&amp;SUBSTITUTE(QualityTable[[#This Row],[Boss]]," ","_")&amp;".png"</f>
        <v>./Boss_Images/Summoned_Savior.png</v>
      </c>
      <c r="E40" t="s">
        <v>117</v>
      </c>
      <c r="F40">
        <v>38</v>
      </c>
      <c r="K40">
        <f>AVERAGE(QualityTable[[#This Row],[Raime]]:QualityTable[[#This Row],[Me]])</f>
        <v>38</v>
      </c>
      <c r="L40">
        <f>ROUND(QualityTable[[#This Row],[Me]]-AVERAGE(QualityTable[[#This Row],[Raime]]:QualityTable[[#This Row],[Ratheil]]),1)</f>
        <v>-38</v>
      </c>
      <c r="M40">
        <f>MAX(QualityTable[[#This Row],[Raime]]:QualityTable[[#This Row],[Me]])</f>
        <v>38</v>
      </c>
      <c r="N40">
        <f>MIN(QualityTable[[#This Row],[Raime]]:QualityTable[[#This Row],[Me]])</f>
        <v>38</v>
      </c>
      <c r="O40">
        <f>QualityTable[[#This Row],[Max]]-QualityTable[[#This Row],[Min]]</f>
        <v>0</v>
      </c>
      <c r="P40">
        <f>ROUND(_xlfn.STDEV.P(QualityTable[[#This Row],[Raime]]:QualityTable[[#This Row],[Me]]),2)</f>
        <v>0</v>
      </c>
      <c r="Q40" s="4">
        <f>COUNTIFS(QualityTable[Average],"&lt;="&amp;QualityTable[[#This Row],[Average]],QualityTable[Act],QualityTable[[#This Row],[Act]])</f>
        <v>14</v>
      </c>
      <c r="R40" s="4">
        <f>_xlfn.MAXIFS(QualityTable[Act_Rank],QualityTable[Act],QualityTable[[#This Row],[Act]])-QualityTable[[#This Row],[Act_Rank]]</f>
        <v>1</v>
      </c>
    </row>
    <row r="41" spans="1:18" x14ac:dyDescent="0.3">
      <c r="A41">
        <f t="shared" si="0"/>
        <v>40</v>
      </c>
      <c r="B41" t="s">
        <v>15</v>
      </c>
      <c r="C41">
        <v>2</v>
      </c>
      <c r="D41" t="str">
        <f>"./Boss_Images/"&amp;SUBSTITUTE(QualityTable[[#This Row],[Boss]]," ","_")&amp;".png"</f>
        <v>./Boss_Images/The_Unraveled.png</v>
      </c>
      <c r="E41" t="s">
        <v>107</v>
      </c>
      <c r="F41">
        <v>31</v>
      </c>
      <c r="G41">
        <v>32</v>
      </c>
      <c r="H41">
        <v>30</v>
      </c>
      <c r="I41">
        <v>19</v>
      </c>
      <c r="J41">
        <v>24</v>
      </c>
      <c r="K41">
        <f>AVERAGE(QualityTable[[#This Row],[Raime]]:QualityTable[[#This Row],[Me]])</f>
        <v>27.2</v>
      </c>
      <c r="L41">
        <f>ROUND(QualityTable[[#This Row],[Me]]-AVERAGE(QualityTable[[#This Row],[Raime]]:QualityTable[[#This Row],[Ratheil]]),1)</f>
        <v>-4</v>
      </c>
      <c r="M41">
        <f>MAX(QualityTable[[#This Row],[Raime]]:QualityTable[[#This Row],[Me]])</f>
        <v>32</v>
      </c>
      <c r="N41">
        <f>MIN(QualityTable[[#This Row],[Raime]]:QualityTable[[#This Row],[Me]])</f>
        <v>19</v>
      </c>
      <c r="O41">
        <f>QualityTable[[#This Row],[Max]]-QualityTable[[#This Row],[Min]]</f>
        <v>13</v>
      </c>
      <c r="P41">
        <f>ROUND(_xlfn.STDEV.P(QualityTable[[#This Row],[Raime]]:QualityTable[[#This Row],[Me]]),2)</f>
        <v>4.96</v>
      </c>
      <c r="Q41" s="4">
        <f>COUNTIFS(QualityTable[Average],"&lt;="&amp;QualityTable[[#This Row],[Average]],QualityTable[Act],QualityTable[[#This Row],[Act]])</f>
        <v>9</v>
      </c>
      <c r="R41" s="4">
        <f>_xlfn.MAXIFS(QualityTable[Act_Rank],QualityTable[Act],QualityTable[[#This Row],[Act]])-QualityTable[[#This Row],[Act_Rank]]</f>
        <v>6</v>
      </c>
    </row>
    <row r="42" spans="1:18" x14ac:dyDescent="0.3">
      <c r="A42">
        <f t="shared" si="0"/>
        <v>41</v>
      </c>
      <c r="B42" t="s">
        <v>35</v>
      </c>
      <c r="C42">
        <v>3</v>
      </c>
      <c r="D42" t="str">
        <f>"./Boss_Images/"&amp;SUBSTITUTE(QualityTable[[#This Row],[Boss]]," ","_")&amp;".png"</f>
        <v>./Boss_Images/Tormented_Trobbio.png</v>
      </c>
      <c r="E42" s="5" t="s">
        <v>111</v>
      </c>
      <c r="F42">
        <v>11</v>
      </c>
      <c r="G42">
        <v>7</v>
      </c>
      <c r="H42">
        <v>9</v>
      </c>
      <c r="I42">
        <v>5</v>
      </c>
      <c r="J42">
        <v>9</v>
      </c>
      <c r="K42">
        <f>AVERAGE(QualityTable[[#This Row],[Raime]]:QualityTable[[#This Row],[Me]])</f>
        <v>8.1999999999999993</v>
      </c>
      <c r="L42">
        <f>ROUND(QualityTable[[#This Row],[Me]]-AVERAGE(QualityTable[[#This Row],[Raime]]:QualityTable[[#This Row],[Ratheil]]),1)</f>
        <v>1</v>
      </c>
      <c r="M42">
        <f>MAX(QualityTable[[#This Row],[Raime]]:QualityTable[[#This Row],[Me]])</f>
        <v>11</v>
      </c>
      <c r="N42">
        <f>MIN(QualityTable[[#This Row],[Raime]]:QualityTable[[#This Row],[Me]])</f>
        <v>5</v>
      </c>
      <c r="O42">
        <f>QualityTable[[#This Row],[Max]]-QualityTable[[#This Row],[Min]]</f>
        <v>6</v>
      </c>
      <c r="P42">
        <f>ROUND(_xlfn.STDEV.P(QualityTable[[#This Row],[Raime]]:QualityTable[[#This Row],[Me]]),2)</f>
        <v>2.04</v>
      </c>
      <c r="Q42" s="4">
        <f>COUNTIFS(QualityTable[Average],"&lt;="&amp;QualityTable[[#This Row],[Average]],QualityTable[Act],QualityTable[[#This Row],[Act]])</f>
        <v>3</v>
      </c>
      <c r="R42" s="4">
        <f>_xlfn.MAXIFS(QualityTable[Act_Rank],QualityTable[Act],QualityTable[[#This Row],[Act]])-QualityTable[[#This Row],[Act_Rank]]</f>
        <v>12</v>
      </c>
    </row>
    <row r="43" spans="1:18" x14ac:dyDescent="0.3">
      <c r="A43">
        <f t="shared" si="0"/>
        <v>42</v>
      </c>
      <c r="B43" t="s">
        <v>30</v>
      </c>
      <c r="C43">
        <v>2</v>
      </c>
      <c r="D43" t="str">
        <f>"./Boss_Images/"&amp;SUBSTITUTE(QualityTable[[#This Row],[Boss]]," ","_")&amp;".png"</f>
        <v>./Boss_Images/Trobbio.png</v>
      </c>
      <c r="E43" t="s">
        <v>86</v>
      </c>
      <c r="F43">
        <v>16</v>
      </c>
      <c r="G43">
        <v>10</v>
      </c>
      <c r="H43">
        <v>9</v>
      </c>
      <c r="I43">
        <v>9</v>
      </c>
      <c r="J43">
        <v>10</v>
      </c>
      <c r="K43">
        <f>AVERAGE(QualityTable[[#This Row],[Raime]]:QualityTable[[#This Row],[Me]])</f>
        <v>10.8</v>
      </c>
      <c r="L43">
        <f>ROUND(QualityTable[[#This Row],[Me]]-AVERAGE(QualityTable[[#This Row],[Raime]]:QualityTable[[#This Row],[Ratheil]]),1)</f>
        <v>-1</v>
      </c>
      <c r="M43">
        <f>MAX(QualityTable[[#This Row],[Raime]]:QualityTable[[#This Row],[Me]])</f>
        <v>16</v>
      </c>
      <c r="N43">
        <f>MIN(QualityTable[[#This Row],[Raime]]:QualityTable[[#This Row],[Me]])</f>
        <v>9</v>
      </c>
      <c r="O43">
        <f>QualityTable[[#This Row],[Max]]-QualityTable[[#This Row],[Min]]</f>
        <v>7</v>
      </c>
      <c r="P43">
        <f>ROUND(_xlfn.STDEV.P(QualityTable[[#This Row],[Raime]]:QualityTable[[#This Row],[Me]]),2)</f>
        <v>2.64</v>
      </c>
      <c r="Q43" s="4">
        <f>COUNTIFS(QualityTable[Average],"&lt;="&amp;QualityTable[[#This Row],[Average]],QualityTable[Act],QualityTable[[#This Row],[Act]])</f>
        <v>6</v>
      </c>
      <c r="R43" s="4">
        <f>_xlfn.MAXIFS(QualityTable[Act_Rank],QualityTable[Act],QualityTable[[#This Row],[Act]])-QualityTable[[#This Row],[Act_Rank]]</f>
        <v>9</v>
      </c>
    </row>
    <row r="44" spans="1:18" x14ac:dyDescent="0.3">
      <c r="A44">
        <f t="shared" si="0"/>
        <v>43</v>
      </c>
      <c r="B44" t="s">
        <v>23</v>
      </c>
      <c r="C44">
        <v>2</v>
      </c>
      <c r="D44" t="str">
        <f>"./Boss_Images/"&amp;SUBSTITUTE(QualityTable[[#This Row],[Boss]]," ","_")&amp;".png"</f>
        <v>./Boss_Images/Voltvyrm.png</v>
      </c>
      <c r="E44" s="5" t="s">
        <v>109</v>
      </c>
      <c r="F44">
        <v>23</v>
      </c>
      <c r="H44">
        <v>33</v>
      </c>
      <c r="I44">
        <v>40</v>
      </c>
      <c r="K44">
        <f>AVERAGE(QualityTable[[#This Row],[Raime]]:QualityTable[[#This Row],[Me]])</f>
        <v>32</v>
      </c>
      <c r="L44">
        <f>ROUND(QualityTable[[#This Row],[Me]]-AVERAGE(QualityTable[[#This Row],[Raime]]:QualityTable[[#This Row],[Ratheil]]),1)</f>
        <v>-32</v>
      </c>
      <c r="M44">
        <f>MAX(QualityTable[[#This Row],[Raime]]:QualityTable[[#This Row],[Me]])</f>
        <v>40</v>
      </c>
      <c r="N44">
        <f>MIN(QualityTable[[#This Row],[Raime]]:QualityTable[[#This Row],[Me]])</f>
        <v>23</v>
      </c>
      <c r="O44">
        <f>QualityTable[[#This Row],[Max]]-QualityTable[[#This Row],[Min]]</f>
        <v>17</v>
      </c>
      <c r="P44">
        <f>ROUND(_xlfn.STDEV.P(QualityTable[[#This Row],[Raime]]:QualityTable[[#This Row],[Me]]),2)</f>
        <v>6.98</v>
      </c>
      <c r="Q44" s="4">
        <f>COUNTIFS(QualityTable[Average],"&lt;="&amp;QualityTable[[#This Row],[Average]],QualityTable[Act],QualityTable[[#This Row],[Act]])</f>
        <v>12</v>
      </c>
      <c r="R44" s="4">
        <f>_xlfn.MAXIFS(QualityTable[Act_Rank],QualityTable[Act],QualityTable[[#This Row],[Act]])-QualityTable[[#This Row],[Act_Rank]]</f>
        <v>3</v>
      </c>
    </row>
    <row r="45" spans="1:18" x14ac:dyDescent="0.3">
      <c r="A45">
        <f t="shared" si="0"/>
        <v>44</v>
      </c>
      <c r="B45" t="s">
        <v>20</v>
      </c>
      <c r="C45">
        <v>3</v>
      </c>
      <c r="D45" t="str">
        <f>"./Boss_Images/"&amp;SUBSTITUTE(QualityTable[[#This Row],[Boss]]," ","_")&amp;".png"</f>
        <v>./Boss_Images/Watcher_at_thhe_Edge.png</v>
      </c>
      <c r="E45" s="5" t="s">
        <v>108</v>
      </c>
      <c r="F45">
        <v>26</v>
      </c>
      <c r="H45">
        <v>29</v>
      </c>
      <c r="I45">
        <v>23</v>
      </c>
      <c r="K45">
        <f>AVERAGE(QualityTable[[#This Row],[Raime]]:QualityTable[[#This Row],[Me]])</f>
        <v>26</v>
      </c>
      <c r="L45">
        <f>ROUND(QualityTable[[#This Row],[Me]]-AVERAGE(QualityTable[[#This Row],[Raime]]:QualityTable[[#This Row],[Ratheil]]),1)</f>
        <v>-26</v>
      </c>
      <c r="M45">
        <f>MAX(QualityTable[[#This Row],[Raime]]:QualityTable[[#This Row],[Me]])</f>
        <v>29</v>
      </c>
      <c r="N45">
        <f>MIN(QualityTable[[#This Row],[Raime]]:QualityTable[[#This Row],[Me]])</f>
        <v>23</v>
      </c>
      <c r="O45">
        <f>QualityTable[[#This Row],[Max]]-QualityTable[[#This Row],[Min]]</f>
        <v>6</v>
      </c>
      <c r="P45">
        <f>ROUND(_xlfn.STDEV.P(QualityTable[[#This Row],[Raime]]:QualityTable[[#This Row],[Me]]),2)</f>
        <v>2.4500000000000002</v>
      </c>
      <c r="Q45" s="4">
        <f>COUNTIFS(QualityTable[Average],"&lt;="&amp;QualityTable[[#This Row],[Average]],QualityTable[Act],QualityTable[[#This Row],[Act]])</f>
        <v>11</v>
      </c>
      <c r="R45" s="4">
        <f>_xlfn.MAXIFS(QualityTable[Act_Rank],QualityTable[Act],QualityTable[[#This Row],[Act]])-QualityTable[[#This Row],[Act_Rank]]</f>
        <v>4</v>
      </c>
    </row>
    <row r="46" spans="1:18" x14ac:dyDescent="0.3">
      <c r="A46">
        <f t="shared" si="0"/>
        <v>45</v>
      </c>
      <c r="B46" t="s">
        <v>37</v>
      </c>
      <c r="C46">
        <v>1</v>
      </c>
      <c r="D46" t="str">
        <f>"./Boss_Images/"&amp;SUBSTITUTE(QualityTable[[#This Row],[Boss]]," ","_")&amp;".png"</f>
        <v>./Boss_Images/Widow.png</v>
      </c>
      <c r="E46" t="s">
        <v>79</v>
      </c>
      <c r="F46">
        <v>9</v>
      </c>
      <c r="G46">
        <v>6</v>
      </c>
      <c r="H46">
        <v>6</v>
      </c>
      <c r="I46">
        <v>13</v>
      </c>
      <c r="J46">
        <v>6</v>
      </c>
      <c r="K46">
        <f>AVERAGE(QualityTable[[#This Row],[Raime]]:QualityTable[[#This Row],[Me]])</f>
        <v>8</v>
      </c>
      <c r="L46">
        <f>ROUND(QualityTable[[#This Row],[Me]]-AVERAGE(QualityTable[[#This Row],[Raime]]:QualityTable[[#This Row],[Ratheil]]),1)</f>
        <v>-2.5</v>
      </c>
      <c r="M46">
        <f>MAX(QualityTable[[#This Row],[Raime]]:QualityTable[[#This Row],[Me]])</f>
        <v>13</v>
      </c>
      <c r="N46">
        <f>MIN(QualityTable[[#This Row],[Raime]]:QualityTable[[#This Row],[Me]])</f>
        <v>6</v>
      </c>
      <c r="O46">
        <f>QualityTable[[#This Row],[Max]]-QualityTable[[#This Row],[Min]]</f>
        <v>7</v>
      </c>
      <c r="P46">
        <f>ROUND(_xlfn.STDEV.P(QualityTable[[#This Row],[Raime]]:QualityTable[[#This Row],[Me]]),2)</f>
        <v>2.76</v>
      </c>
      <c r="Q46" s="4">
        <f>COUNTIFS(QualityTable[Average],"&lt;="&amp;QualityTable[[#This Row],[Average]],QualityTable[Act],QualityTable[[#This Row],[Act]])</f>
        <v>2</v>
      </c>
      <c r="R46" s="4">
        <f>_xlfn.MAXIFS(QualityTable[Act_Rank],QualityTable[Act],QualityTable[[#This Row],[Act]])-QualityTable[[#This Row],[Act_Rank]]</f>
        <v>13</v>
      </c>
    </row>
  </sheetData>
  <hyperlinks>
    <hyperlink ref="E19" r:id="rId1" xr:uid="{915F70B4-0819-4EFF-8B23-D0BB342658BC}"/>
    <hyperlink ref="E15" r:id="rId2" xr:uid="{843DEE0F-EC85-498A-A2FC-CD672C976B1B}"/>
    <hyperlink ref="E29" r:id="rId3" xr:uid="{91523825-6F62-4A29-8FA0-B254AA543A01}"/>
    <hyperlink ref="E12" r:id="rId4" xr:uid="{A28FAD2C-BD28-4456-A751-9068B8F360F9}"/>
    <hyperlink ref="E32" r:id="rId5" xr:uid="{8F7AD108-82A9-4A97-A63C-129BBC3454C9}"/>
    <hyperlink ref="E4" r:id="rId6" xr:uid="{6BFA06A3-9AE5-466A-B5BB-28AB1EE873B9}"/>
    <hyperlink ref="E3" r:id="rId7" xr:uid="{3C86F1EC-7C50-441A-B7DE-AF91D7DD29A0}"/>
    <hyperlink ref="E30" r:id="rId8" xr:uid="{3D24867E-58AE-4B98-8B6C-5A9A568CB5B3}"/>
    <hyperlink ref="E36" r:id="rId9" xr:uid="{F3C9DEF2-8693-41CA-A750-E6FF955C4A1A}"/>
    <hyperlink ref="E27" r:id="rId10" xr:uid="{6EF7E9C0-6F50-4E6E-B676-16AE5D016765}"/>
    <hyperlink ref="E9" r:id="rId11" xr:uid="{D43288FB-4C6C-4B46-B12A-6D9D1D9C0082}"/>
    <hyperlink ref="E18" r:id="rId12" xr:uid="{9535AB97-B08C-4AA3-A67E-D3C7BFA86B96}"/>
    <hyperlink ref="E22" r:id="rId13" xr:uid="{563B90E6-BA36-41BC-AEB5-B3D9D9742CF2}"/>
    <hyperlink ref="E5" r:id="rId14" xr:uid="{E5C5DD3F-7D21-439C-87FD-17E8F5710C0F}"/>
    <hyperlink ref="E45" r:id="rId15" xr:uid="{1765720B-E451-41C1-8C75-EB7B5546AB7D}"/>
    <hyperlink ref="E44" r:id="rId16" xr:uid="{3DD50295-E57C-4F91-8B83-A0C0F5A52AF1}"/>
    <hyperlink ref="E34" r:id="rId17" xr:uid="{37985CBE-98CD-49C3-B570-4C3CCBC08E91}"/>
    <hyperlink ref="E42" r:id="rId18" xr:uid="{5F3925DA-D73F-416D-9979-3077D70D3853}"/>
    <hyperlink ref="E8" r:id="rId19" xr:uid="{C41640A1-C287-4DF8-BDCF-876EDD2BF39C}"/>
    <hyperlink ref="E23" r:id="rId20" xr:uid="{D8CCDC49-3663-4C5D-AEE4-A48E10707394}"/>
  </hyperlinks>
  <pageMargins left="0.7" right="0.7" top="0.75" bottom="0.75" header="0.3" footer="0.3"/>
  <tableParts count="1">
    <tablePart r:id="rId2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1360E-0ADC-4AED-82AC-41D79EEC0D3A}">
  <dimension ref="A1:J46"/>
  <sheetViews>
    <sheetView workbookViewId="0">
      <selection activeCell="E10" sqref="E10"/>
    </sheetView>
  </sheetViews>
  <sheetFormatPr defaultRowHeight="14.4" x14ac:dyDescent="0.3"/>
  <cols>
    <col min="10" max="10" width="14.44140625" customWidth="1"/>
  </cols>
  <sheetData>
    <row r="1" spans="1:10" x14ac:dyDescent="0.3">
      <c r="A1" t="s">
        <v>0</v>
      </c>
      <c r="B1" t="s">
        <v>3</v>
      </c>
      <c r="C1" t="s">
        <v>58</v>
      </c>
      <c r="D1" t="s">
        <v>56</v>
      </c>
      <c r="E1" t="s">
        <v>69</v>
      </c>
      <c r="F1" t="s">
        <v>50</v>
      </c>
      <c r="G1" t="s">
        <v>49</v>
      </c>
      <c r="H1" t="s">
        <v>51</v>
      </c>
      <c r="I1" t="s">
        <v>52</v>
      </c>
      <c r="J1" t="s">
        <v>62</v>
      </c>
    </row>
    <row r="2" spans="1:10" x14ac:dyDescent="0.3">
      <c r="A2">
        <f t="shared" ref="A2:A46" si="0">ROW()-1</f>
        <v>1</v>
      </c>
      <c r="B2" t="s">
        <v>17</v>
      </c>
      <c r="C2">
        <v>1</v>
      </c>
      <c r="D2">
        <v>37</v>
      </c>
      <c r="F2">
        <f>IFERROR(AVERAGE(DifficultyTable[[#This Row],[Sunburned Albino]]:DifficultyTable[[#This Row],[Me]]),45)</f>
        <v>37</v>
      </c>
      <c r="G2">
        <f>MAX(DifficultyTable[[#This Row],[Sunburned Albino]]:DifficultyTable[[#This Row],[Me]])</f>
        <v>37</v>
      </c>
      <c r="H2">
        <f>MIN(DifficultyTable[[#This Row],[Sunburned Albino]]:DifficultyTable[[#This Row],[Me]])</f>
        <v>37</v>
      </c>
      <c r="I2">
        <f>IFERROR(_xlfn.STDEV.P(DifficultyTable[[#This Row],[Sunburned Albino]]:DifficultyTable[[#This Row],[Me]]),45)</f>
        <v>0</v>
      </c>
      <c r="J2" s="4">
        <f>COUNTIFS(DifficultyTable[Average],"&lt;="&amp;DifficultyTable[[#This Row],[Average]],DifficultyTable[Act],DifficultyTable[[#This Row],[Act]])</f>
        <v>9</v>
      </c>
    </row>
    <row r="3" spans="1:10" x14ac:dyDescent="0.3">
      <c r="A3">
        <f t="shared" si="0"/>
        <v>2</v>
      </c>
      <c r="B3" t="s">
        <v>22</v>
      </c>
      <c r="C3">
        <v>3</v>
      </c>
      <c r="D3">
        <v>13</v>
      </c>
      <c r="F3">
        <f>IFERROR(AVERAGE(DifficultyTable[[#This Row],[Sunburned Albino]]:DifficultyTable[[#This Row],[Me]]),45)</f>
        <v>13</v>
      </c>
      <c r="G3">
        <f>MAX(DifficultyTable[[#This Row],[Sunburned Albino]]:DifficultyTable[[#This Row],[Me]])</f>
        <v>13</v>
      </c>
      <c r="H3">
        <f>MIN(DifficultyTable[[#This Row],[Sunburned Albino]]:DifficultyTable[[#This Row],[Me]])</f>
        <v>13</v>
      </c>
      <c r="I3">
        <f>IFERROR(_xlfn.STDEV.P(DifficultyTable[[#This Row],[Sunburned Albino]]:DifficultyTable[[#This Row],[Me]]),45)</f>
        <v>0</v>
      </c>
      <c r="J3" s="4">
        <f>COUNTIFS(DifficultyTable[Average],"&lt;="&amp;DifficultyTable[[#This Row],[Average]],DifficultyTable[Act],DifficultyTable[[#This Row],[Act]])</f>
        <v>6</v>
      </c>
    </row>
    <row r="4" spans="1:10" x14ac:dyDescent="0.3">
      <c r="A4">
        <f t="shared" si="0"/>
        <v>3</v>
      </c>
      <c r="B4" t="s">
        <v>13</v>
      </c>
      <c r="C4">
        <v>2</v>
      </c>
      <c r="D4">
        <v>23</v>
      </c>
      <c r="F4">
        <f>IFERROR(AVERAGE(DifficultyTable[[#This Row],[Sunburned Albino]]:DifficultyTable[[#This Row],[Me]]),45)</f>
        <v>23</v>
      </c>
      <c r="G4">
        <f>MAX(DifficultyTable[[#This Row],[Sunburned Albino]]:DifficultyTable[[#This Row],[Me]])</f>
        <v>23</v>
      </c>
      <c r="H4">
        <f>MIN(DifficultyTable[[#This Row],[Sunburned Albino]]:DifficultyTable[[#This Row],[Me]])</f>
        <v>23</v>
      </c>
      <c r="I4">
        <f>IFERROR(_xlfn.STDEV.P(DifficultyTable[[#This Row],[Sunburned Albino]]:DifficultyTable[[#This Row],[Me]]),45)</f>
        <v>0</v>
      </c>
      <c r="J4" s="4">
        <f>COUNTIFS(DifficultyTable[Average],"&lt;="&amp;DifficultyTable[[#This Row],[Average]],DifficultyTable[Act],DifficultyTable[[#This Row],[Act]])</f>
        <v>10</v>
      </c>
    </row>
    <row r="5" spans="1:10" x14ac:dyDescent="0.3">
      <c r="A5">
        <f t="shared" si="0"/>
        <v>4</v>
      </c>
      <c r="B5" t="s">
        <v>31</v>
      </c>
      <c r="C5">
        <v>3</v>
      </c>
      <c r="D5">
        <v>17</v>
      </c>
      <c r="F5">
        <f>IFERROR(AVERAGE(DifficultyTable[[#This Row],[Sunburned Albino]]:DifficultyTable[[#This Row],[Me]]),45)</f>
        <v>17</v>
      </c>
      <c r="G5">
        <f>MAX(DifficultyTable[[#This Row],[Sunburned Albino]]:DifficultyTable[[#This Row],[Me]])</f>
        <v>17</v>
      </c>
      <c r="H5">
        <f>MIN(DifficultyTable[[#This Row],[Sunburned Albino]]:DifficultyTable[[#This Row],[Me]])</f>
        <v>17</v>
      </c>
      <c r="I5">
        <f>IFERROR(_xlfn.STDEV.P(DifficultyTable[[#This Row],[Sunburned Albino]]:DifficultyTable[[#This Row],[Me]]),45)</f>
        <v>0</v>
      </c>
      <c r="J5" s="4">
        <f>COUNTIFS(DifficultyTable[Average],"&lt;="&amp;DifficultyTable[[#This Row],[Average]],DifficultyTable[Act],DifficultyTable[[#This Row],[Act]])</f>
        <v>7</v>
      </c>
    </row>
    <row r="6" spans="1:10" x14ac:dyDescent="0.3">
      <c r="A6">
        <f t="shared" si="0"/>
        <v>5</v>
      </c>
      <c r="B6" t="s">
        <v>40</v>
      </c>
      <c r="C6">
        <v>2</v>
      </c>
      <c r="D6">
        <v>30</v>
      </c>
      <c r="F6">
        <f>IFERROR(AVERAGE(DifficultyTable[[#This Row],[Sunburned Albino]]:DifficultyTable[[#This Row],[Me]]),45)</f>
        <v>30</v>
      </c>
      <c r="G6">
        <f>MAX(DifficultyTable[[#This Row],[Sunburned Albino]]:DifficultyTable[[#This Row],[Me]])</f>
        <v>30</v>
      </c>
      <c r="H6">
        <f>MIN(DifficultyTable[[#This Row],[Sunburned Albino]]:DifficultyTable[[#This Row],[Me]])</f>
        <v>30</v>
      </c>
      <c r="I6">
        <f>IFERROR(_xlfn.STDEV.P(DifficultyTable[[#This Row],[Sunburned Albino]]:DifficultyTable[[#This Row],[Me]]),45)</f>
        <v>0</v>
      </c>
      <c r="J6" s="4">
        <f>COUNTIFS(DifficultyTable[Average],"&lt;="&amp;DifficultyTable[[#This Row],[Average]],DifficultyTable[Act],DifficultyTable[[#This Row],[Act]])</f>
        <v>12</v>
      </c>
    </row>
    <row r="7" spans="1:10" x14ac:dyDescent="0.3">
      <c r="A7">
        <f t="shared" si="0"/>
        <v>6</v>
      </c>
      <c r="B7" t="s">
        <v>47</v>
      </c>
      <c r="C7">
        <v>1</v>
      </c>
      <c r="F7">
        <f>IFERROR(AVERAGE(DifficultyTable[[#This Row],[Sunburned Albino]]:DifficultyTable[[#This Row],[Me]]),45)</f>
        <v>45</v>
      </c>
      <c r="G7">
        <f>MAX(DifficultyTable[[#This Row],[Sunburned Albino]]:DifficultyTable[[#This Row],[Me]])</f>
        <v>0</v>
      </c>
      <c r="H7">
        <f>MIN(DifficultyTable[[#This Row],[Sunburned Albino]]:DifficultyTable[[#This Row],[Me]])</f>
        <v>0</v>
      </c>
      <c r="I7">
        <f>IFERROR(_xlfn.STDEV.P(DifficultyTable[[#This Row],[Sunburned Albino]]:DifficultyTable[[#This Row],[Me]]),45)</f>
        <v>45</v>
      </c>
      <c r="J7" s="4">
        <f>COUNTIFS(DifficultyTable[Average],"&lt;="&amp;DifficultyTable[[#This Row],[Average]],DifficultyTable[Act],DifficultyTable[[#This Row],[Act]])</f>
        <v>15</v>
      </c>
    </row>
    <row r="8" spans="1:10" x14ac:dyDescent="0.3">
      <c r="A8">
        <f t="shared" si="0"/>
        <v>7</v>
      </c>
      <c r="B8" t="s">
        <v>14</v>
      </c>
      <c r="C8">
        <v>3</v>
      </c>
      <c r="D8">
        <v>21</v>
      </c>
      <c r="F8">
        <f>IFERROR(AVERAGE(DifficultyTable[[#This Row],[Sunburned Albino]]:DifficultyTable[[#This Row],[Me]]),45)</f>
        <v>21</v>
      </c>
      <c r="G8">
        <f>MAX(DifficultyTable[[#This Row],[Sunburned Albino]]:DifficultyTable[[#This Row],[Me]])</f>
        <v>21</v>
      </c>
      <c r="H8">
        <f>MIN(DifficultyTable[[#This Row],[Sunburned Albino]]:DifficultyTable[[#This Row],[Me]])</f>
        <v>21</v>
      </c>
      <c r="I8">
        <f>IFERROR(_xlfn.STDEV.P(DifficultyTable[[#This Row],[Sunburned Albino]]:DifficultyTable[[#This Row],[Me]]),45)</f>
        <v>0</v>
      </c>
      <c r="J8" s="4">
        <f>COUNTIFS(DifficultyTable[Average],"&lt;="&amp;DifficultyTable[[#This Row],[Average]],DifficultyTable[Act],DifficultyTable[[#This Row],[Act]])</f>
        <v>9</v>
      </c>
    </row>
    <row r="9" spans="1:10" x14ac:dyDescent="0.3">
      <c r="A9">
        <f t="shared" si="0"/>
        <v>8</v>
      </c>
      <c r="B9" t="s">
        <v>36</v>
      </c>
      <c r="C9">
        <v>3</v>
      </c>
      <c r="D9">
        <v>26</v>
      </c>
      <c r="F9">
        <f>IFERROR(AVERAGE(DifficultyTable[[#This Row],[Sunburned Albino]]:DifficultyTable[[#This Row],[Me]]),45)</f>
        <v>26</v>
      </c>
      <c r="G9">
        <f>MAX(DifficultyTable[[#This Row],[Sunburned Albino]]:DifficultyTable[[#This Row],[Me]])</f>
        <v>26</v>
      </c>
      <c r="H9">
        <f>MIN(DifficultyTable[[#This Row],[Sunburned Albino]]:DifficultyTable[[#This Row],[Me]])</f>
        <v>26</v>
      </c>
      <c r="I9">
        <f>IFERROR(_xlfn.STDEV.P(DifficultyTable[[#This Row],[Sunburned Albino]]:DifficultyTable[[#This Row],[Me]]),45)</f>
        <v>0</v>
      </c>
      <c r="J9" s="4">
        <f>COUNTIFS(DifficultyTable[Average],"&lt;="&amp;DifficultyTable[[#This Row],[Average]],DifficultyTable[Act],DifficultyTable[[#This Row],[Act]])</f>
        <v>10</v>
      </c>
    </row>
    <row r="10" spans="1:10" x14ac:dyDescent="0.3">
      <c r="A10">
        <f t="shared" si="0"/>
        <v>9</v>
      </c>
      <c r="B10" t="s">
        <v>21</v>
      </c>
      <c r="C10">
        <v>2</v>
      </c>
      <c r="D10">
        <v>24</v>
      </c>
      <c r="F10">
        <f>IFERROR(AVERAGE(DifficultyTable[[#This Row],[Sunburned Albino]]:DifficultyTable[[#This Row],[Me]]),45)</f>
        <v>24</v>
      </c>
      <c r="G10">
        <f>MAX(DifficultyTable[[#This Row],[Sunburned Albino]]:DifficultyTable[[#This Row],[Me]])</f>
        <v>24</v>
      </c>
      <c r="H10">
        <f>MIN(DifficultyTable[[#This Row],[Sunburned Albino]]:DifficultyTable[[#This Row],[Me]])</f>
        <v>24</v>
      </c>
      <c r="I10">
        <f>IFERROR(_xlfn.STDEV.P(DifficultyTable[[#This Row],[Sunburned Albino]]:DifficultyTable[[#This Row],[Me]]),45)</f>
        <v>0</v>
      </c>
      <c r="J10" s="4">
        <f>COUNTIFS(DifficultyTable[Average],"&lt;="&amp;DifficultyTable[[#This Row],[Average]],DifficultyTable[Act],DifficultyTable[[#This Row],[Act]])</f>
        <v>11</v>
      </c>
    </row>
    <row r="11" spans="1:10" x14ac:dyDescent="0.3">
      <c r="A11">
        <f t="shared" si="0"/>
        <v>10</v>
      </c>
      <c r="B11" t="s">
        <v>11</v>
      </c>
      <c r="C11">
        <v>2</v>
      </c>
      <c r="D11">
        <v>14</v>
      </c>
      <c r="F11">
        <f>IFERROR(AVERAGE(DifficultyTable[[#This Row],[Sunburned Albino]]:DifficultyTable[[#This Row],[Me]]),45)</f>
        <v>14</v>
      </c>
      <c r="G11">
        <f>MAX(DifficultyTable[[#This Row],[Sunburned Albino]]:DifficultyTable[[#This Row],[Me]])</f>
        <v>14</v>
      </c>
      <c r="H11">
        <f>MIN(DifficultyTable[[#This Row],[Sunburned Albino]]:DifficultyTable[[#This Row],[Me]])</f>
        <v>14</v>
      </c>
      <c r="I11">
        <f>IFERROR(_xlfn.STDEV.P(DifficultyTable[[#This Row],[Sunburned Albino]]:DifficultyTable[[#This Row],[Me]]),45)</f>
        <v>0</v>
      </c>
      <c r="J11" s="4">
        <f>COUNTIFS(DifficultyTable[Average],"&lt;="&amp;DifficultyTable[[#This Row],[Average]],DifficultyTable[Act],DifficultyTable[[#This Row],[Act]])</f>
        <v>7</v>
      </c>
    </row>
    <row r="12" spans="1:10" x14ac:dyDescent="0.3">
      <c r="A12">
        <f t="shared" si="0"/>
        <v>11</v>
      </c>
      <c r="B12" t="s">
        <v>44</v>
      </c>
      <c r="C12">
        <v>2</v>
      </c>
      <c r="D12">
        <v>5</v>
      </c>
      <c r="E12">
        <v>3</v>
      </c>
      <c r="F12">
        <f>IFERROR(AVERAGE(DifficultyTable[[#This Row],[Sunburned Albino]]:DifficultyTable[[#This Row],[Me]]),45)</f>
        <v>4</v>
      </c>
      <c r="G12">
        <f>MAX(DifficultyTable[[#This Row],[Sunburned Albino]]:DifficultyTable[[#This Row],[Me]])</f>
        <v>5</v>
      </c>
      <c r="H12">
        <f>MIN(DifficultyTable[[#This Row],[Sunburned Albino]]:DifficultyTable[[#This Row],[Me]])</f>
        <v>3</v>
      </c>
      <c r="I12">
        <f>IFERROR(_xlfn.STDEV.P(DifficultyTable[[#This Row],[Sunburned Albino]]:DifficultyTable[[#This Row],[Me]]),45)</f>
        <v>1</v>
      </c>
      <c r="J12" s="4">
        <f>COUNTIFS(DifficultyTable[Average],"&lt;="&amp;DifficultyTable[[#This Row],[Average]],DifficultyTable[Act],DifficultyTable[[#This Row],[Act]])</f>
        <v>2</v>
      </c>
    </row>
    <row r="13" spans="1:10" x14ac:dyDescent="0.3">
      <c r="A13">
        <f t="shared" si="0"/>
        <v>12</v>
      </c>
      <c r="B13" t="s">
        <v>18</v>
      </c>
      <c r="C13">
        <v>2</v>
      </c>
      <c r="D13">
        <v>12</v>
      </c>
      <c r="F13">
        <f>IFERROR(AVERAGE(DifficultyTable[[#This Row],[Sunburned Albino]]:DifficultyTable[[#This Row],[Me]]),45)</f>
        <v>12</v>
      </c>
      <c r="G13">
        <f>MAX(DifficultyTable[[#This Row],[Sunburned Albino]]:DifficultyTable[[#This Row],[Me]])</f>
        <v>12</v>
      </c>
      <c r="H13">
        <f>MIN(DifficultyTable[[#This Row],[Sunburned Albino]]:DifficultyTable[[#This Row],[Me]])</f>
        <v>12</v>
      </c>
      <c r="I13">
        <f>IFERROR(_xlfn.STDEV.P(DifficultyTable[[#This Row],[Sunburned Albino]]:DifficultyTable[[#This Row],[Me]]),45)</f>
        <v>0</v>
      </c>
      <c r="J13" s="4">
        <f>COUNTIFS(DifficultyTable[Average],"&lt;="&amp;DifficultyTable[[#This Row],[Average]],DifficultyTable[Act],DifficultyTable[[#This Row],[Act]])</f>
        <v>6</v>
      </c>
    </row>
    <row r="14" spans="1:10" x14ac:dyDescent="0.3">
      <c r="A14">
        <f t="shared" si="0"/>
        <v>13</v>
      </c>
      <c r="B14" t="s">
        <v>29</v>
      </c>
      <c r="C14">
        <v>1</v>
      </c>
      <c r="D14">
        <v>31</v>
      </c>
      <c r="F14">
        <f>IFERROR(AVERAGE(DifficultyTable[[#This Row],[Sunburned Albino]]:DifficultyTable[[#This Row],[Me]]),45)</f>
        <v>31</v>
      </c>
      <c r="G14">
        <f>MAX(DifficultyTable[[#This Row],[Sunburned Albino]]:DifficultyTable[[#This Row],[Me]])</f>
        <v>31</v>
      </c>
      <c r="H14">
        <f>MIN(DifficultyTable[[#This Row],[Sunburned Albino]]:DifficultyTable[[#This Row],[Me]])</f>
        <v>31</v>
      </c>
      <c r="I14">
        <f>IFERROR(_xlfn.STDEV.P(DifficultyTable[[#This Row],[Sunburned Albino]]:DifficultyTable[[#This Row],[Me]]),45)</f>
        <v>0</v>
      </c>
      <c r="J14" s="4">
        <f>COUNTIFS(DifficultyTable[Average],"&lt;="&amp;DifficultyTable[[#This Row],[Average]],DifficultyTable[Act],DifficultyTable[[#This Row],[Act]])</f>
        <v>7</v>
      </c>
    </row>
    <row r="15" spans="1:10" x14ac:dyDescent="0.3">
      <c r="A15">
        <f t="shared" si="0"/>
        <v>14</v>
      </c>
      <c r="B15" t="s">
        <v>54</v>
      </c>
      <c r="C15">
        <v>2</v>
      </c>
      <c r="D15">
        <v>9</v>
      </c>
      <c r="E15">
        <v>6</v>
      </c>
      <c r="F15">
        <f>IFERROR(AVERAGE(DifficultyTable[[#This Row],[Sunburned Albino]]:DifficultyTable[[#This Row],[Me]]),45)</f>
        <v>7.5</v>
      </c>
      <c r="G15">
        <f>MAX(DifficultyTable[[#This Row],[Sunburned Albino]]:DifficultyTable[[#This Row],[Me]])</f>
        <v>9</v>
      </c>
      <c r="H15">
        <f>MIN(DifficultyTable[[#This Row],[Sunburned Albino]]:DifficultyTable[[#This Row],[Me]])</f>
        <v>6</v>
      </c>
      <c r="I15">
        <f>IFERROR(_xlfn.STDEV.P(DifficultyTable[[#This Row],[Sunburned Albino]]:DifficultyTable[[#This Row],[Me]]),45)</f>
        <v>1.5</v>
      </c>
      <c r="J15" s="4">
        <f>COUNTIFS(DifficultyTable[Average],"&lt;="&amp;DifficultyTable[[#This Row],[Average]],DifficultyTable[Act],DifficultyTable[[#This Row],[Act]])</f>
        <v>5</v>
      </c>
    </row>
    <row r="16" spans="1:10" x14ac:dyDescent="0.3">
      <c r="A16">
        <f t="shared" si="0"/>
        <v>15</v>
      </c>
      <c r="B16" t="s">
        <v>24</v>
      </c>
      <c r="C16">
        <v>1</v>
      </c>
      <c r="D16">
        <v>27</v>
      </c>
      <c r="F16">
        <f>IFERROR(AVERAGE(DifficultyTable[[#This Row],[Sunburned Albino]]:DifficultyTable[[#This Row],[Me]]),45)</f>
        <v>27</v>
      </c>
      <c r="G16">
        <f>MAX(DifficultyTable[[#This Row],[Sunburned Albino]]:DifficultyTable[[#This Row],[Me]])</f>
        <v>27</v>
      </c>
      <c r="H16">
        <f>MIN(DifficultyTable[[#This Row],[Sunburned Albino]]:DifficultyTable[[#This Row],[Me]])</f>
        <v>27</v>
      </c>
      <c r="I16">
        <f>IFERROR(_xlfn.STDEV.P(DifficultyTable[[#This Row],[Sunburned Albino]]:DifficultyTable[[#This Row],[Me]]),45)</f>
        <v>0</v>
      </c>
      <c r="J16" s="4">
        <f>COUNTIFS(DifficultyTable[Average],"&lt;="&amp;DifficultyTable[[#This Row],[Average]],DifficultyTable[Act],DifficultyTable[[#This Row],[Act]])</f>
        <v>5</v>
      </c>
    </row>
    <row r="17" spans="1:10" x14ac:dyDescent="0.3">
      <c r="A17">
        <f t="shared" si="0"/>
        <v>16</v>
      </c>
      <c r="B17" t="s">
        <v>9</v>
      </c>
      <c r="C17">
        <v>2</v>
      </c>
      <c r="D17">
        <v>2</v>
      </c>
      <c r="F17">
        <f>IFERROR(AVERAGE(DifficultyTable[[#This Row],[Sunburned Albino]]:DifficultyTable[[#This Row],[Me]]),45)</f>
        <v>2</v>
      </c>
      <c r="G17">
        <f>MAX(DifficultyTable[[#This Row],[Sunburned Albino]]:DifficultyTable[[#This Row],[Me]])</f>
        <v>2</v>
      </c>
      <c r="H17">
        <f>MIN(DifficultyTable[[#This Row],[Sunburned Albino]]:DifficultyTable[[#This Row],[Me]])</f>
        <v>2</v>
      </c>
      <c r="I17">
        <f>IFERROR(_xlfn.STDEV.P(DifficultyTable[[#This Row],[Sunburned Albino]]:DifficultyTable[[#This Row],[Me]]),45)</f>
        <v>0</v>
      </c>
      <c r="J17" s="4">
        <f>COUNTIFS(DifficultyTable[Average],"&lt;="&amp;DifficultyTable[[#This Row],[Average]],DifficultyTable[Act],DifficultyTable[[#This Row],[Act]])</f>
        <v>1</v>
      </c>
    </row>
    <row r="18" spans="1:10" x14ac:dyDescent="0.3">
      <c r="A18">
        <f t="shared" si="0"/>
        <v>17</v>
      </c>
      <c r="B18" t="s">
        <v>7</v>
      </c>
      <c r="C18">
        <v>3</v>
      </c>
      <c r="D18">
        <v>32</v>
      </c>
      <c r="F18">
        <f>IFERROR(AVERAGE(DifficultyTable[[#This Row],[Sunburned Albino]]:DifficultyTable[[#This Row],[Me]]),45)</f>
        <v>32</v>
      </c>
      <c r="G18">
        <f>MAX(DifficultyTable[[#This Row],[Sunburned Albino]]:DifficultyTable[[#This Row],[Me]])</f>
        <v>32</v>
      </c>
      <c r="H18">
        <f>MIN(DifficultyTable[[#This Row],[Sunburned Albino]]:DifficultyTable[[#This Row],[Me]])</f>
        <v>32</v>
      </c>
      <c r="I18">
        <f>IFERROR(_xlfn.STDEV.P(DifficultyTable[[#This Row],[Sunburned Albino]]:DifficultyTable[[#This Row],[Me]]),45)</f>
        <v>0</v>
      </c>
      <c r="J18" s="4">
        <f>COUNTIFS(DifficultyTable[Average],"&lt;="&amp;DifficultyTable[[#This Row],[Average]],DifficultyTable[Act],DifficultyTable[[#This Row],[Act]])</f>
        <v>12</v>
      </c>
    </row>
    <row r="19" spans="1:10" x14ac:dyDescent="0.3">
      <c r="A19">
        <f t="shared" si="0"/>
        <v>18</v>
      </c>
      <c r="B19" t="s">
        <v>26</v>
      </c>
      <c r="C19">
        <v>1</v>
      </c>
      <c r="D19">
        <v>39</v>
      </c>
      <c r="F19">
        <f>IFERROR(AVERAGE(DifficultyTable[[#This Row],[Sunburned Albino]]:DifficultyTable[[#This Row],[Me]]),45)</f>
        <v>39</v>
      </c>
      <c r="G19">
        <f>MAX(DifficultyTable[[#This Row],[Sunburned Albino]]:DifficultyTable[[#This Row],[Me]])</f>
        <v>39</v>
      </c>
      <c r="H19">
        <f>MIN(DifficultyTable[[#This Row],[Sunburned Albino]]:DifficultyTable[[#This Row],[Me]])</f>
        <v>39</v>
      </c>
      <c r="I19">
        <f>IFERROR(_xlfn.STDEV.P(DifficultyTable[[#This Row],[Sunburned Albino]]:DifficultyTable[[#This Row],[Me]]),45)</f>
        <v>0</v>
      </c>
      <c r="J19" s="4">
        <f>COUNTIFS(DifficultyTable[Average],"&lt;="&amp;DifficultyTable[[#This Row],[Average]],DifficultyTable[Act],DifficultyTable[[#This Row],[Act]])</f>
        <v>11</v>
      </c>
    </row>
    <row r="20" spans="1:10" x14ac:dyDescent="0.3">
      <c r="A20">
        <f t="shared" si="0"/>
        <v>19</v>
      </c>
      <c r="B20" t="s">
        <v>32</v>
      </c>
      <c r="C20">
        <v>2</v>
      </c>
      <c r="D20">
        <v>10</v>
      </c>
      <c r="E20">
        <v>4</v>
      </c>
      <c r="F20">
        <f>IFERROR(AVERAGE(DifficultyTable[[#This Row],[Sunburned Albino]]:DifficultyTable[[#This Row],[Me]]),45)</f>
        <v>7</v>
      </c>
      <c r="G20">
        <f>MAX(DifficultyTable[[#This Row],[Sunburned Albino]]:DifficultyTable[[#This Row],[Me]])</f>
        <v>10</v>
      </c>
      <c r="H20">
        <f>MIN(DifficultyTable[[#This Row],[Sunburned Albino]]:DifficultyTable[[#This Row],[Me]])</f>
        <v>4</v>
      </c>
      <c r="I20">
        <f>IFERROR(_xlfn.STDEV.P(DifficultyTable[[#This Row],[Sunburned Albino]]:DifficultyTable[[#This Row],[Me]]),45)</f>
        <v>3</v>
      </c>
      <c r="J20" s="4">
        <f>COUNTIFS(DifficultyTable[Average],"&lt;="&amp;DifficultyTable[[#This Row],[Average]],DifficultyTable[Act],DifficultyTable[[#This Row],[Act]])</f>
        <v>4</v>
      </c>
    </row>
    <row r="21" spans="1:10" x14ac:dyDescent="0.3">
      <c r="A21">
        <f t="shared" si="0"/>
        <v>20</v>
      </c>
      <c r="B21" t="s">
        <v>42</v>
      </c>
      <c r="C21">
        <v>1</v>
      </c>
      <c r="D21">
        <v>8</v>
      </c>
      <c r="E21">
        <v>5</v>
      </c>
      <c r="F21">
        <f>IFERROR(AVERAGE(DifficultyTable[[#This Row],[Sunburned Albino]]:DifficultyTable[[#This Row],[Me]]),45)</f>
        <v>6.5</v>
      </c>
      <c r="G21">
        <f>MAX(DifficultyTable[[#This Row],[Sunburned Albino]]:DifficultyTable[[#This Row],[Me]])</f>
        <v>8</v>
      </c>
      <c r="H21">
        <f>MIN(DifficultyTable[[#This Row],[Sunburned Albino]]:DifficultyTable[[#This Row],[Me]])</f>
        <v>5</v>
      </c>
      <c r="I21">
        <f>IFERROR(_xlfn.STDEV.P(DifficultyTable[[#This Row],[Sunburned Albino]]:DifficultyTable[[#This Row],[Me]]),45)</f>
        <v>1.5</v>
      </c>
      <c r="J21" s="4">
        <f>COUNTIFS(DifficultyTable[Average],"&lt;="&amp;DifficultyTable[[#This Row],[Average]],DifficultyTable[Act],DifficultyTable[[#This Row],[Act]])</f>
        <v>1</v>
      </c>
    </row>
    <row r="22" spans="1:10" x14ac:dyDescent="0.3">
      <c r="A22">
        <f t="shared" si="0"/>
        <v>21</v>
      </c>
      <c r="B22" t="s">
        <v>33</v>
      </c>
      <c r="C22">
        <v>3</v>
      </c>
      <c r="D22">
        <v>18</v>
      </c>
      <c r="F22">
        <f>IFERROR(AVERAGE(DifficultyTable[[#This Row],[Sunburned Albino]]:DifficultyTable[[#This Row],[Me]]),45)</f>
        <v>18</v>
      </c>
      <c r="G22">
        <f>MAX(DifficultyTable[[#This Row],[Sunburned Albino]]:DifficultyTable[[#This Row],[Me]])</f>
        <v>18</v>
      </c>
      <c r="H22">
        <f>MIN(DifficultyTable[[#This Row],[Sunburned Albino]]:DifficultyTable[[#This Row],[Me]])</f>
        <v>18</v>
      </c>
      <c r="I22">
        <f>IFERROR(_xlfn.STDEV.P(DifficultyTable[[#This Row],[Sunburned Albino]]:DifficultyTable[[#This Row],[Me]]),45)</f>
        <v>0</v>
      </c>
      <c r="J22" s="4">
        <f>COUNTIFS(DifficultyTable[Average],"&lt;="&amp;DifficultyTable[[#This Row],[Average]],DifficultyTable[Act],DifficultyTable[[#This Row],[Act]])</f>
        <v>8</v>
      </c>
    </row>
    <row r="23" spans="1:10" x14ac:dyDescent="0.3">
      <c r="A23">
        <f t="shared" si="0"/>
        <v>22</v>
      </c>
      <c r="B23" t="s">
        <v>38</v>
      </c>
      <c r="C23">
        <v>3</v>
      </c>
      <c r="D23">
        <v>1</v>
      </c>
      <c r="E23">
        <v>2</v>
      </c>
      <c r="F23">
        <f>IFERROR(AVERAGE(DifficultyTable[[#This Row],[Sunburned Albino]]:DifficultyTable[[#This Row],[Me]]),45)</f>
        <v>1.5</v>
      </c>
      <c r="G23">
        <f>MAX(DifficultyTable[[#This Row],[Sunburned Albino]]:DifficultyTable[[#This Row],[Me]])</f>
        <v>2</v>
      </c>
      <c r="H23">
        <f>MIN(DifficultyTable[[#This Row],[Sunburned Albino]]:DifficultyTable[[#This Row],[Me]])</f>
        <v>1</v>
      </c>
      <c r="I23">
        <f>IFERROR(_xlfn.STDEV.P(DifficultyTable[[#This Row],[Sunburned Albino]]:DifficultyTable[[#This Row],[Me]]),45)</f>
        <v>0.5</v>
      </c>
      <c r="J23" s="4">
        <f>COUNTIFS(DifficultyTable[Average],"&lt;="&amp;DifficultyTable[[#This Row],[Average]],DifficultyTable[Act],DifficultyTable[[#This Row],[Act]])</f>
        <v>1</v>
      </c>
    </row>
    <row r="24" spans="1:10" x14ac:dyDescent="0.3">
      <c r="A24">
        <f t="shared" si="0"/>
        <v>23</v>
      </c>
      <c r="B24" t="s">
        <v>28</v>
      </c>
      <c r="C24">
        <v>1</v>
      </c>
      <c r="D24">
        <v>22</v>
      </c>
      <c r="F24">
        <f>IFERROR(AVERAGE(DifficultyTable[[#This Row],[Sunburned Albino]]:DifficultyTable[[#This Row],[Me]]),45)</f>
        <v>22</v>
      </c>
      <c r="G24">
        <f>MAX(DifficultyTable[[#This Row],[Sunburned Albino]]:DifficultyTable[[#This Row],[Me]])</f>
        <v>22</v>
      </c>
      <c r="H24">
        <f>MIN(DifficultyTable[[#This Row],[Sunburned Albino]]:DifficultyTable[[#This Row],[Me]])</f>
        <v>22</v>
      </c>
      <c r="I24">
        <f>IFERROR(_xlfn.STDEV.P(DifficultyTable[[#This Row],[Sunburned Albino]]:DifficultyTable[[#This Row],[Me]]),45)</f>
        <v>0</v>
      </c>
      <c r="J24" s="4">
        <f>COUNTIFS(DifficultyTable[Average],"&lt;="&amp;DifficultyTable[[#This Row],[Average]],DifficultyTable[Act],DifficultyTable[[#This Row],[Act]])</f>
        <v>4</v>
      </c>
    </row>
    <row r="25" spans="1:10" x14ac:dyDescent="0.3">
      <c r="A25">
        <f t="shared" si="0"/>
        <v>24</v>
      </c>
      <c r="B25" t="s">
        <v>10</v>
      </c>
      <c r="C25">
        <v>1</v>
      </c>
      <c r="D25">
        <v>45</v>
      </c>
      <c r="F25">
        <f>IFERROR(AVERAGE(DifficultyTable[[#This Row],[Sunburned Albino]]:DifficultyTable[[#This Row],[Me]]),45)</f>
        <v>45</v>
      </c>
      <c r="G25">
        <f>MAX(DifficultyTable[[#This Row],[Sunburned Albino]]:DifficultyTable[[#This Row],[Me]])</f>
        <v>45</v>
      </c>
      <c r="H25">
        <f>MIN(DifficultyTable[[#This Row],[Sunburned Albino]]:DifficultyTable[[#This Row],[Me]])</f>
        <v>45</v>
      </c>
      <c r="I25">
        <f>IFERROR(_xlfn.STDEV.P(DifficultyTable[[#This Row],[Sunburned Albino]]:DifficultyTable[[#This Row],[Me]]),45)</f>
        <v>0</v>
      </c>
      <c r="J25" s="4">
        <f>COUNTIFS(DifficultyTable[Average],"&lt;="&amp;DifficultyTable[[#This Row],[Average]],DifficultyTable[Act],DifficultyTable[[#This Row],[Act]])</f>
        <v>15</v>
      </c>
    </row>
    <row r="26" spans="1:10" x14ac:dyDescent="0.3">
      <c r="A26">
        <f t="shared" si="0"/>
        <v>25</v>
      </c>
      <c r="B26" t="s">
        <v>48</v>
      </c>
      <c r="C26">
        <v>1</v>
      </c>
      <c r="D26">
        <v>40</v>
      </c>
      <c r="F26">
        <f>IFERROR(AVERAGE(DifficultyTable[[#This Row],[Sunburned Albino]]:DifficultyTable[[#This Row],[Me]]),45)</f>
        <v>40</v>
      </c>
      <c r="G26">
        <f>MAX(DifficultyTable[[#This Row],[Sunburned Albino]]:DifficultyTable[[#This Row],[Me]])</f>
        <v>40</v>
      </c>
      <c r="H26">
        <f>MIN(DifficultyTable[[#This Row],[Sunburned Albino]]:DifficultyTable[[#This Row],[Me]])</f>
        <v>40</v>
      </c>
      <c r="I26">
        <f>IFERROR(_xlfn.STDEV.P(DifficultyTable[[#This Row],[Sunburned Albino]]:DifficultyTable[[#This Row],[Me]]),45)</f>
        <v>0</v>
      </c>
      <c r="J26" s="4">
        <f>COUNTIFS(DifficultyTable[Average],"&lt;="&amp;DifficultyTable[[#This Row],[Average]],DifficultyTable[Act],DifficultyTable[[#This Row],[Act]])</f>
        <v>12</v>
      </c>
    </row>
    <row r="27" spans="1:10" x14ac:dyDescent="0.3">
      <c r="A27">
        <f t="shared" si="0"/>
        <v>26</v>
      </c>
      <c r="B27" t="s">
        <v>25</v>
      </c>
      <c r="C27">
        <v>3</v>
      </c>
      <c r="D27">
        <v>11</v>
      </c>
      <c r="F27">
        <f>IFERROR(AVERAGE(DifficultyTable[[#This Row],[Sunburned Albino]]:DifficultyTable[[#This Row],[Me]]),45)</f>
        <v>11</v>
      </c>
      <c r="G27">
        <f>MAX(DifficultyTable[[#This Row],[Sunburned Albino]]:DifficultyTable[[#This Row],[Me]])</f>
        <v>11</v>
      </c>
      <c r="H27">
        <f>MIN(DifficultyTable[[#This Row],[Sunburned Albino]]:DifficultyTable[[#This Row],[Me]])</f>
        <v>11</v>
      </c>
      <c r="I27">
        <f>IFERROR(_xlfn.STDEV.P(DifficultyTable[[#This Row],[Sunburned Albino]]:DifficultyTable[[#This Row],[Me]]),45)</f>
        <v>0</v>
      </c>
      <c r="J27" s="4">
        <f>COUNTIFS(DifficultyTable[Average],"&lt;="&amp;DifficultyTable[[#This Row],[Average]],DifficultyTable[Act],DifficultyTable[[#This Row],[Act]])</f>
        <v>5</v>
      </c>
    </row>
    <row r="28" spans="1:10" x14ac:dyDescent="0.3">
      <c r="A28">
        <f t="shared" si="0"/>
        <v>27</v>
      </c>
      <c r="B28" t="s">
        <v>4</v>
      </c>
      <c r="C28">
        <v>3</v>
      </c>
      <c r="D28">
        <v>41</v>
      </c>
      <c r="F28">
        <f>IFERROR(AVERAGE(DifficultyTable[[#This Row],[Sunburned Albino]]:DifficultyTable[[#This Row],[Me]]),45)</f>
        <v>41</v>
      </c>
      <c r="G28">
        <f>MAX(DifficultyTable[[#This Row],[Sunburned Albino]]:DifficultyTable[[#This Row],[Me]])</f>
        <v>41</v>
      </c>
      <c r="H28">
        <f>MIN(DifficultyTable[[#This Row],[Sunburned Albino]]:DifficultyTable[[#This Row],[Me]])</f>
        <v>41</v>
      </c>
      <c r="I28">
        <f>IFERROR(_xlfn.STDEV.P(DifficultyTable[[#This Row],[Sunburned Albino]]:DifficultyTable[[#This Row],[Me]]),45)</f>
        <v>0</v>
      </c>
      <c r="J28" s="4">
        <f>COUNTIFS(DifficultyTable[Average],"&lt;="&amp;DifficultyTable[[#This Row],[Average]],DifficultyTable[Act],DifficultyTable[[#This Row],[Act]])</f>
        <v>14</v>
      </c>
    </row>
    <row r="29" spans="1:10" x14ac:dyDescent="0.3">
      <c r="A29">
        <f t="shared" si="0"/>
        <v>28</v>
      </c>
      <c r="B29" t="s">
        <v>34</v>
      </c>
      <c r="C29">
        <v>1</v>
      </c>
      <c r="D29">
        <v>38</v>
      </c>
      <c r="F29">
        <f>IFERROR(AVERAGE(DifficultyTable[[#This Row],[Sunburned Albino]]:DifficultyTable[[#This Row],[Me]]),45)</f>
        <v>38</v>
      </c>
      <c r="G29">
        <f>MAX(DifficultyTable[[#This Row],[Sunburned Albino]]:DifficultyTable[[#This Row],[Me]])</f>
        <v>38</v>
      </c>
      <c r="H29">
        <f>MIN(DifficultyTable[[#This Row],[Sunburned Albino]]:DifficultyTable[[#This Row],[Me]])</f>
        <v>38</v>
      </c>
      <c r="I29">
        <f>IFERROR(_xlfn.STDEV.P(DifficultyTable[[#This Row],[Sunburned Albino]]:DifficultyTable[[#This Row],[Me]]),45)</f>
        <v>0</v>
      </c>
      <c r="J29" s="4">
        <f>COUNTIFS(DifficultyTable[Average],"&lt;="&amp;DifficultyTable[[#This Row],[Average]],DifficultyTable[Act],DifficultyTable[[#This Row],[Act]])</f>
        <v>10</v>
      </c>
    </row>
    <row r="30" spans="1:10" x14ac:dyDescent="0.3">
      <c r="A30">
        <f t="shared" si="0"/>
        <v>29</v>
      </c>
      <c r="B30" t="s">
        <v>19</v>
      </c>
      <c r="C30">
        <v>3</v>
      </c>
      <c r="D30">
        <v>28</v>
      </c>
      <c r="F30">
        <f>IFERROR(AVERAGE(DifficultyTable[[#This Row],[Sunburned Albino]]:DifficultyTable[[#This Row],[Me]]),45)</f>
        <v>28</v>
      </c>
      <c r="G30">
        <f>MAX(DifficultyTable[[#This Row],[Sunburned Albino]]:DifficultyTable[[#This Row],[Me]])</f>
        <v>28</v>
      </c>
      <c r="H30">
        <f>MIN(DifficultyTable[[#This Row],[Sunburned Albino]]:DifficultyTable[[#This Row],[Me]])</f>
        <v>28</v>
      </c>
      <c r="I30">
        <f>IFERROR(_xlfn.STDEV.P(DifficultyTable[[#This Row],[Sunburned Albino]]:DifficultyTable[[#This Row],[Me]]),45)</f>
        <v>0</v>
      </c>
      <c r="J30" s="4">
        <f>COUNTIFS(DifficultyTable[Average],"&lt;="&amp;DifficultyTable[[#This Row],[Average]],DifficultyTable[Act],DifficultyTable[[#This Row],[Act]])</f>
        <v>11</v>
      </c>
    </row>
    <row r="31" spans="1:10" x14ac:dyDescent="0.3">
      <c r="A31">
        <f t="shared" si="0"/>
        <v>30</v>
      </c>
      <c r="B31" t="s">
        <v>6</v>
      </c>
      <c r="C31">
        <v>2</v>
      </c>
      <c r="F31">
        <f>IFERROR(AVERAGE(DifficultyTable[[#This Row],[Sunburned Albino]]:DifficultyTable[[#This Row],[Me]]),45)</f>
        <v>45</v>
      </c>
      <c r="G31">
        <f>MAX(DifficultyTable[[#This Row],[Sunburned Albino]]:DifficultyTable[[#This Row],[Me]])</f>
        <v>0</v>
      </c>
      <c r="H31">
        <f>MIN(DifficultyTable[[#This Row],[Sunburned Albino]]:DifficultyTable[[#This Row],[Me]])</f>
        <v>0</v>
      </c>
      <c r="I31">
        <f>IFERROR(_xlfn.STDEV.P(DifficultyTable[[#This Row],[Sunburned Albino]]:DifficultyTable[[#This Row],[Me]]),45)</f>
        <v>45</v>
      </c>
      <c r="J31" s="4">
        <f>COUNTIFS(DifficultyTable[Average],"&lt;="&amp;DifficultyTable[[#This Row],[Average]],DifficultyTable[Act],DifficultyTable[[#This Row],[Act]])</f>
        <v>15</v>
      </c>
    </row>
    <row r="32" spans="1:10" x14ac:dyDescent="0.3">
      <c r="A32">
        <f t="shared" si="0"/>
        <v>31</v>
      </c>
      <c r="B32" t="s">
        <v>27</v>
      </c>
      <c r="C32">
        <v>1</v>
      </c>
      <c r="D32">
        <v>16</v>
      </c>
      <c r="F32">
        <f>IFERROR(AVERAGE(DifficultyTable[[#This Row],[Sunburned Albino]]:DifficultyTable[[#This Row],[Me]]),45)</f>
        <v>16</v>
      </c>
      <c r="G32">
        <f>MAX(DifficultyTable[[#This Row],[Sunburned Albino]]:DifficultyTable[[#This Row],[Me]])</f>
        <v>16</v>
      </c>
      <c r="H32">
        <f>MIN(DifficultyTable[[#This Row],[Sunburned Albino]]:DifficultyTable[[#This Row],[Me]])</f>
        <v>16</v>
      </c>
      <c r="I32">
        <f>IFERROR(_xlfn.STDEV.P(DifficultyTable[[#This Row],[Sunburned Albino]]:DifficultyTable[[#This Row],[Me]]),45)</f>
        <v>0</v>
      </c>
      <c r="J32" s="4">
        <f>COUNTIFS(DifficultyTable[Average],"&lt;="&amp;DifficultyTable[[#This Row],[Average]],DifficultyTable[Act],DifficultyTable[[#This Row],[Act]])</f>
        <v>3</v>
      </c>
    </row>
    <row r="33" spans="1:10" x14ac:dyDescent="0.3">
      <c r="A33">
        <f t="shared" si="0"/>
        <v>32</v>
      </c>
      <c r="B33" t="s">
        <v>5</v>
      </c>
      <c r="C33">
        <v>1</v>
      </c>
      <c r="D33">
        <v>36</v>
      </c>
      <c r="F33">
        <f>IFERROR(AVERAGE(DifficultyTable[[#This Row],[Sunburned Albino]]:DifficultyTable[[#This Row],[Me]]),45)</f>
        <v>36</v>
      </c>
      <c r="G33">
        <f>MAX(DifficultyTable[[#This Row],[Sunburned Albino]]:DifficultyTable[[#This Row],[Me]])</f>
        <v>36</v>
      </c>
      <c r="H33">
        <f>MIN(DifficultyTable[[#This Row],[Sunburned Albino]]:DifficultyTable[[#This Row],[Me]])</f>
        <v>36</v>
      </c>
      <c r="I33">
        <f>IFERROR(_xlfn.STDEV.P(DifficultyTable[[#This Row],[Sunburned Albino]]:DifficultyTable[[#This Row],[Me]]),45)</f>
        <v>0</v>
      </c>
      <c r="J33" s="4">
        <f>COUNTIFS(DifficultyTable[Average],"&lt;="&amp;DifficultyTable[[#This Row],[Average]],DifficultyTable[Act],DifficultyTable[[#This Row],[Act]])</f>
        <v>8</v>
      </c>
    </row>
    <row r="34" spans="1:10" x14ac:dyDescent="0.3">
      <c r="A34">
        <f t="shared" si="0"/>
        <v>33</v>
      </c>
      <c r="B34" t="s">
        <v>39</v>
      </c>
      <c r="C34">
        <v>2</v>
      </c>
      <c r="D34">
        <v>15</v>
      </c>
      <c r="F34">
        <f>IFERROR(AVERAGE(DifficultyTable[[#This Row],[Sunburned Albino]]:DifficultyTable[[#This Row],[Me]]),45)</f>
        <v>15</v>
      </c>
      <c r="G34">
        <f>MAX(DifficultyTable[[#This Row],[Sunburned Albino]]:DifficultyTable[[#This Row],[Me]])</f>
        <v>15</v>
      </c>
      <c r="H34">
        <f>MIN(DifficultyTable[[#This Row],[Sunburned Albino]]:DifficultyTable[[#This Row],[Me]])</f>
        <v>15</v>
      </c>
      <c r="I34">
        <f>IFERROR(_xlfn.STDEV.P(DifficultyTable[[#This Row],[Sunburned Albino]]:DifficultyTable[[#This Row],[Me]]),45)</f>
        <v>0</v>
      </c>
      <c r="J34" s="4">
        <f>COUNTIFS(DifficultyTable[Average],"&lt;="&amp;DifficultyTable[[#This Row],[Average]],DifficultyTable[Act],DifficultyTable[[#This Row],[Act]])</f>
        <v>8</v>
      </c>
    </row>
    <row r="35" spans="1:10" x14ac:dyDescent="0.3">
      <c r="A35">
        <f t="shared" si="0"/>
        <v>34</v>
      </c>
      <c r="B35" t="s">
        <v>53</v>
      </c>
      <c r="C35">
        <v>2</v>
      </c>
      <c r="F35">
        <f>IFERROR(AVERAGE(DifficultyTable[[#This Row],[Sunburned Albino]]:DifficultyTable[[#This Row],[Me]]),45)</f>
        <v>45</v>
      </c>
      <c r="G35">
        <f>MAX(DifficultyTable[[#This Row],[Sunburned Albino]]:DifficultyTable[[#This Row],[Me]])</f>
        <v>0</v>
      </c>
      <c r="H35">
        <f>MIN(DifficultyTable[[#This Row],[Sunburned Albino]]:DifficultyTable[[#This Row],[Me]])</f>
        <v>0</v>
      </c>
      <c r="I35">
        <f>IFERROR(_xlfn.STDEV.P(DifficultyTable[[#This Row],[Sunburned Albino]]:DifficultyTable[[#This Row],[Me]]),45)</f>
        <v>45</v>
      </c>
      <c r="J35" s="4">
        <f>COUNTIFS(DifficultyTable[Average],"&lt;="&amp;DifficultyTable[[#This Row],[Average]],DifficultyTable[Act],DifficultyTable[[#This Row],[Act]])</f>
        <v>15</v>
      </c>
    </row>
    <row r="36" spans="1:10" x14ac:dyDescent="0.3">
      <c r="A36">
        <f t="shared" si="0"/>
        <v>35</v>
      </c>
      <c r="B36" t="s">
        <v>41</v>
      </c>
      <c r="C36">
        <v>3</v>
      </c>
      <c r="D36">
        <v>7</v>
      </c>
      <c r="F36">
        <f>IFERROR(AVERAGE(DifficultyTable[[#This Row],[Sunburned Albino]]:DifficultyTable[[#This Row],[Me]]),45)</f>
        <v>7</v>
      </c>
      <c r="G36">
        <f>MAX(DifficultyTable[[#This Row],[Sunburned Albino]]:DifficultyTable[[#This Row],[Me]])</f>
        <v>7</v>
      </c>
      <c r="H36">
        <f>MIN(DifficultyTable[[#This Row],[Sunburned Albino]]:DifficultyTable[[#This Row],[Me]])</f>
        <v>7</v>
      </c>
      <c r="I36">
        <f>IFERROR(_xlfn.STDEV.P(DifficultyTable[[#This Row],[Sunburned Albino]]:DifficultyTable[[#This Row],[Me]]),45)</f>
        <v>0</v>
      </c>
      <c r="J36" s="4">
        <f>COUNTIFS(DifficultyTable[Average],"&lt;="&amp;DifficultyTable[[#This Row],[Average]],DifficultyTable[Act],DifficultyTable[[#This Row],[Act]])</f>
        <v>4</v>
      </c>
    </row>
    <row r="37" spans="1:10" x14ac:dyDescent="0.3">
      <c r="A37">
        <f t="shared" si="0"/>
        <v>36</v>
      </c>
      <c r="B37" t="s">
        <v>16</v>
      </c>
      <c r="C37">
        <v>1</v>
      </c>
      <c r="D37">
        <v>29</v>
      </c>
      <c r="F37">
        <f>IFERROR(AVERAGE(DifficultyTable[[#This Row],[Sunburned Albino]]:DifficultyTable[[#This Row],[Me]]),45)</f>
        <v>29</v>
      </c>
      <c r="G37">
        <f>MAX(DifficultyTable[[#This Row],[Sunburned Albino]]:DifficultyTable[[#This Row],[Me]])</f>
        <v>29</v>
      </c>
      <c r="H37">
        <f>MIN(DifficultyTable[[#This Row],[Sunburned Albino]]:DifficultyTable[[#This Row],[Me]])</f>
        <v>29</v>
      </c>
      <c r="I37">
        <f>IFERROR(_xlfn.STDEV.P(DifficultyTable[[#This Row],[Sunburned Albino]]:DifficultyTable[[#This Row],[Me]]),45)</f>
        <v>0</v>
      </c>
      <c r="J37" s="4">
        <f>COUNTIFS(DifficultyTable[Average],"&lt;="&amp;DifficultyTable[[#This Row],[Average]],DifficultyTable[Act],DifficultyTable[[#This Row],[Act]])</f>
        <v>6</v>
      </c>
    </row>
    <row r="38" spans="1:10" x14ac:dyDescent="0.3">
      <c r="A38">
        <f t="shared" si="0"/>
        <v>37</v>
      </c>
      <c r="B38" t="s">
        <v>43</v>
      </c>
      <c r="C38">
        <v>3</v>
      </c>
      <c r="D38">
        <v>3</v>
      </c>
      <c r="E38">
        <v>1</v>
      </c>
      <c r="F38">
        <f>IFERROR(AVERAGE(DifficultyTable[[#This Row],[Sunburned Albino]]:DifficultyTable[[#This Row],[Me]]),45)</f>
        <v>2</v>
      </c>
      <c r="G38">
        <f>MAX(DifficultyTable[[#This Row],[Sunburned Albino]]:DifficultyTable[[#This Row],[Me]])</f>
        <v>3</v>
      </c>
      <c r="H38">
        <f>MIN(DifficultyTable[[#This Row],[Sunburned Albino]]:DifficultyTable[[#This Row],[Me]])</f>
        <v>1</v>
      </c>
      <c r="I38">
        <f>IFERROR(_xlfn.STDEV.P(DifficultyTable[[#This Row],[Sunburned Albino]]:DifficultyTable[[#This Row],[Me]]),45)</f>
        <v>1</v>
      </c>
      <c r="J38" s="4">
        <f>COUNTIFS(DifficultyTable[Average],"&lt;="&amp;DifficultyTable[[#This Row],[Average]],DifficultyTable[Act],DifficultyTable[[#This Row],[Act]])</f>
        <v>2</v>
      </c>
    </row>
    <row r="39" spans="1:10" x14ac:dyDescent="0.3">
      <c r="A39">
        <f t="shared" si="0"/>
        <v>38</v>
      </c>
      <c r="B39" t="s">
        <v>12</v>
      </c>
      <c r="C39">
        <v>1</v>
      </c>
      <c r="D39">
        <v>44</v>
      </c>
      <c r="F39">
        <f>IFERROR(AVERAGE(DifficultyTable[[#This Row],[Sunburned Albino]]:DifficultyTable[[#This Row],[Me]]),45)</f>
        <v>44</v>
      </c>
      <c r="G39">
        <f>MAX(DifficultyTable[[#This Row],[Sunburned Albino]]:DifficultyTable[[#This Row],[Me]])</f>
        <v>44</v>
      </c>
      <c r="H39">
        <f>MIN(DifficultyTable[[#This Row],[Sunburned Albino]]:DifficultyTable[[#This Row],[Me]])</f>
        <v>44</v>
      </c>
      <c r="I39">
        <f>IFERROR(_xlfn.STDEV.P(DifficultyTable[[#This Row],[Sunburned Albino]]:DifficultyTable[[#This Row],[Me]]),45)</f>
        <v>0</v>
      </c>
      <c r="J39" s="4">
        <f>COUNTIFS(DifficultyTable[Average],"&lt;="&amp;DifficultyTable[[#This Row],[Average]],DifficultyTable[Act],DifficultyTable[[#This Row],[Act]])</f>
        <v>13</v>
      </c>
    </row>
    <row r="40" spans="1:10" x14ac:dyDescent="0.3">
      <c r="A40">
        <f t="shared" si="0"/>
        <v>39</v>
      </c>
      <c r="B40" t="s">
        <v>8</v>
      </c>
      <c r="C40">
        <v>3</v>
      </c>
      <c r="F40">
        <f>IFERROR(AVERAGE(DifficultyTable[[#This Row],[Sunburned Albino]]:DifficultyTable[[#This Row],[Me]]),45)</f>
        <v>45</v>
      </c>
      <c r="G40">
        <f>MAX(DifficultyTable[[#This Row],[Sunburned Albino]]:DifficultyTable[[#This Row],[Me]])</f>
        <v>0</v>
      </c>
      <c r="H40">
        <f>MIN(DifficultyTable[[#This Row],[Sunburned Albino]]:DifficultyTable[[#This Row],[Me]])</f>
        <v>0</v>
      </c>
      <c r="I40">
        <f>IFERROR(_xlfn.STDEV.P(DifficultyTable[[#This Row],[Sunburned Albino]]:DifficultyTable[[#This Row],[Me]]),45)</f>
        <v>45</v>
      </c>
      <c r="J40" s="4">
        <f>COUNTIFS(DifficultyTable[Average],"&lt;="&amp;DifficultyTable[[#This Row],[Average]],DifficultyTable[Act],DifficultyTable[[#This Row],[Act]])</f>
        <v>15</v>
      </c>
    </row>
    <row r="41" spans="1:10" x14ac:dyDescent="0.3">
      <c r="A41">
        <f t="shared" si="0"/>
        <v>40</v>
      </c>
      <c r="B41" t="s">
        <v>15</v>
      </c>
      <c r="C41">
        <v>2</v>
      </c>
      <c r="D41">
        <v>20</v>
      </c>
      <c r="F41">
        <f>IFERROR(AVERAGE(DifficultyTable[[#This Row],[Sunburned Albino]]:DifficultyTable[[#This Row],[Me]]),45)</f>
        <v>20</v>
      </c>
      <c r="G41">
        <f>MAX(DifficultyTable[[#This Row],[Sunburned Albino]]:DifficultyTable[[#This Row],[Me]])</f>
        <v>20</v>
      </c>
      <c r="H41">
        <f>MIN(DifficultyTable[[#This Row],[Sunburned Albino]]:DifficultyTable[[#This Row],[Me]])</f>
        <v>20</v>
      </c>
      <c r="I41">
        <f>IFERROR(_xlfn.STDEV.P(DifficultyTable[[#This Row],[Sunburned Albino]]:DifficultyTable[[#This Row],[Me]]),45)</f>
        <v>0</v>
      </c>
      <c r="J41" s="4">
        <f>COUNTIFS(DifficultyTable[Average],"&lt;="&amp;DifficultyTable[[#This Row],[Average]],DifficultyTable[Act],DifficultyTable[[#This Row],[Act]])</f>
        <v>9</v>
      </c>
    </row>
    <row r="42" spans="1:10" x14ac:dyDescent="0.3">
      <c r="A42">
        <f t="shared" si="0"/>
        <v>41</v>
      </c>
      <c r="B42" t="s">
        <v>35</v>
      </c>
      <c r="C42">
        <v>3</v>
      </c>
      <c r="D42">
        <v>4</v>
      </c>
      <c r="E42">
        <v>8</v>
      </c>
      <c r="F42">
        <f>IFERROR(AVERAGE(DifficultyTable[[#This Row],[Sunburned Albino]]:DifficultyTable[[#This Row],[Me]]),45)</f>
        <v>6</v>
      </c>
      <c r="G42">
        <f>MAX(DifficultyTable[[#This Row],[Sunburned Albino]]:DifficultyTable[[#This Row],[Me]])</f>
        <v>8</v>
      </c>
      <c r="H42">
        <f>MIN(DifficultyTable[[#This Row],[Sunburned Albino]]:DifficultyTable[[#This Row],[Me]])</f>
        <v>4</v>
      </c>
      <c r="I42">
        <f>IFERROR(_xlfn.STDEV.P(DifficultyTable[[#This Row],[Sunburned Albino]]:DifficultyTable[[#This Row],[Me]]),45)</f>
        <v>2</v>
      </c>
      <c r="J42" s="4">
        <f>COUNTIFS(DifficultyTable[Average],"&lt;="&amp;DifficultyTable[[#This Row],[Average]],DifficultyTable[Act],DifficultyTable[[#This Row],[Act]])</f>
        <v>3</v>
      </c>
    </row>
    <row r="43" spans="1:10" x14ac:dyDescent="0.3">
      <c r="A43">
        <f t="shared" si="0"/>
        <v>42</v>
      </c>
      <c r="B43" t="s">
        <v>30</v>
      </c>
      <c r="C43">
        <v>2</v>
      </c>
      <c r="D43">
        <v>6</v>
      </c>
      <c r="F43">
        <f>IFERROR(AVERAGE(DifficultyTable[[#This Row],[Sunburned Albino]]:DifficultyTable[[#This Row],[Me]]),45)</f>
        <v>6</v>
      </c>
      <c r="G43">
        <f>MAX(DifficultyTable[[#This Row],[Sunburned Albino]]:DifficultyTable[[#This Row],[Me]])</f>
        <v>6</v>
      </c>
      <c r="H43">
        <f>MIN(DifficultyTable[[#This Row],[Sunburned Albino]]:DifficultyTable[[#This Row],[Me]])</f>
        <v>6</v>
      </c>
      <c r="I43">
        <f>IFERROR(_xlfn.STDEV.P(DifficultyTable[[#This Row],[Sunburned Albino]]:DifficultyTable[[#This Row],[Me]]),45)</f>
        <v>0</v>
      </c>
      <c r="J43" s="4">
        <f>COUNTIFS(DifficultyTable[Average],"&lt;="&amp;DifficultyTable[[#This Row],[Average]],DifficultyTable[Act],DifficultyTable[[#This Row],[Act]])</f>
        <v>3</v>
      </c>
    </row>
    <row r="44" spans="1:10" x14ac:dyDescent="0.3">
      <c r="A44">
        <f t="shared" si="0"/>
        <v>43</v>
      </c>
      <c r="B44" t="s">
        <v>23</v>
      </c>
      <c r="C44">
        <v>2</v>
      </c>
      <c r="D44">
        <v>42</v>
      </c>
      <c r="F44">
        <f>IFERROR(AVERAGE(DifficultyTable[[#This Row],[Sunburned Albino]]:DifficultyTable[[#This Row],[Me]]),45)</f>
        <v>42</v>
      </c>
      <c r="G44">
        <f>MAX(DifficultyTable[[#This Row],[Sunburned Albino]]:DifficultyTable[[#This Row],[Me]])</f>
        <v>42</v>
      </c>
      <c r="H44">
        <f>MIN(DifficultyTable[[#This Row],[Sunburned Albino]]:DifficultyTable[[#This Row],[Me]])</f>
        <v>42</v>
      </c>
      <c r="I44">
        <f>IFERROR(_xlfn.STDEV.P(DifficultyTable[[#This Row],[Sunburned Albino]]:DifficultyTable[[#This Row],[Me]]),45)</f>
        <v>0</v>
      </c>
      <c r="J44" s="4">
        <f>COUNTIFS(DifficultyTable[Average],"&lt;="&amp;DifficultyTable[[#This Row],[Average]],DifficultyTable[Act],DifficultyTable[[#This Row],[Act]])</f>
        <v>13</v>
      </c>
    </row>
    <row r="45" spans="1:10" x14ac:dyDescent="0.3">
      <c r="A45">
        <f t="shared" si="0"/>
        <v>44</v>
      </c>
      <c r="B45" t="s">
        <v>20</v>
      </c>
      <c r="C45">
        <v>3</v>
      </c>
      <c r="D45">
        <v>33</v>
      </c>
      <c r="F45">
        <f>IFERROR(AVERAGE(DifficultyTable[[#This Row],[Sunburned Albino]]:DifficultyTable[[#This Row],[Me]]),45)</f>
        <v>33</v>
      </c>
      <c r="G45">
        <f>MAX(DifficultyTable[[#This Row],[Sunburned Albino]]:DifficultyTable[[#This Row],[Me]])</f>
        <v>33</v>
      </c>
      <c r="H45">
        <f>MIN(DifficultyTable[[#This Row],[Sunburned Albino]]:DifficultyTable[[#This Row],[Me]])</f>
        <v>33</v>
      </c>
      <c r="I45">
        <f>IFERROR(_xlfn.STDEV.P(DifficultyTable[[#This Row],[Sunburned Albino]]:DifficultyTable[[#This Row],[Me]]),45)</f>
        <v>0</v>
      </c>
      <c r="J45" s="4">
        <f>COUNTIFS(DifficultyTable[Average],"&lt;="&amp;DifficultyTable[[#This Row],[Average]],DifficultyTable[Act],DifficultyTable[[#This Row],[Act]])</f>
        <v>13</v>
      </c>
    </row>
    <row r="46" spans="1:10" x14ac:dyDescent="0.3">
      <c r="A46">
        <f t="shared" si="0"/>
        <v>45</v>
      </c>
      <c r="B46" t="s">
        <v>37</v>
      </c>
      <c r="C46">
        <v>1</v>
      </c>
      <c r="D46">
        <v>19</v>
      </c>
      <c r="E46">
        <v>7</v>
      </c>
      <c r="F46">
        <f>IFERROR(AVERAGE(DifficultyTable[[#This Row],[Sunburned Albino]]:DifficultyTable[[#This Row],[Me]]),45)</f>
        <v>13</v>
      </c>
      <c r="G46">
        <f>MAX(DifficultyTable[[#This Row],[Sunburned Albino]]:DifficultyTable[[#This Row],[Me]])</f>
        <v>19</v>
      </c>
      <c r="H46">
        <f>MIN(DifficultyTable[[#This Row],[Sunburned Albino]]:DifficultyTable[[#This Row],[Me]])</f>
        <v>7</v>
      </c>
      <c r="I46">
        <f>IFERROR(_xlfn.STDEV.P(DifficultyTable[[#This Row],[Sunburned Albino]]:DifficultyTable[[#This Row],[Me]]),45)</f>
        <v>6</v>
      </c>
      <c r="J46" s="4">
        <f>COUNTIFS(DifficultyTable[Average],"&lt;="&amp;DifficultyTable[[#This Row],[Average]],DifficultyTable[Act],DifficultyTable[[#This Row],[Act]])</f>
        <v>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03B22-44C7-493B-8F2C-DF0571A976A4}">
  <dimension ref="A1:B6"/>
  <sheetViews>
    <sheetView workbookViewId="0">
      <selection activeCell="A5" sqref="A5"/>
    </sheetView>
  </sheetViews>
  <sheetFormatPr defaultRowHeight="14.4" x14ac:dyDescent="0.3"/>
  <sheetData>
    <row r="1" spans="1:2" x14ac:dyDescent="0.3">
      <c r="A1" t="s">
        <v>65</v>
      </c>
      <c r="B1" t="s">
        <v>66</v>
      </c>
    </row>
    <row r="2" spans="1:2" x14ac:dyDescent="0.3">
      <c r="A2" t="s">
        <v>1</v>
      </c>
      <c r="B2" t="s">
        <v>2</v>
      </c>
    </row>
    <row r="3" spans="1:2" x14ac:dyDescent="0.3">
      <c r="A3" t="s">
        <v>45</v>
      </c>
      <c r="B3" t="s">
        <v>46</v>
      </c>
    </row>
    <row r="4" spans="1:2" x14ac:dyDescent="0.3">
      <c r="A4" t="s">
        <v>55</v>
      </c>
      <c r="B4" t="s">
        <v>57</v>
      </c>
    </row>
    <row r="5" spans="1:2" x14ac:dyDescent="0.3">
      <c r="A5" t="s">
        <v>67</v>
      </c>
      <c r="B5" t="s">
        <v>56</v>
      </c>
    </row>
    <row r="6" spans="1:2" x14ac:dyDescent="0.3">
      <c r="A6" t="s">
        <v>64</v>
      </c>
      <c r="B6" t="s">
        <v>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Quality</vt:lpstr>
      <vt:lpstr>Difficulty</vt:lpstr>
      <vt:lpstr>Works Cited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</dc:creator>
  <cp:lastModifiedBy>CJ  Conti</cp:lastModifiedBy>
  <dcterms:created xsi:type="dcterms:W3CDTF">2015-06-05T18:17:20Z</dcterms:created>
  <dcterms:modified xsi:type="dcterms:W3CDTF">2025-10-02T16:43:48Z</dcterms:modified>
</cp:coreProperties>
</file>